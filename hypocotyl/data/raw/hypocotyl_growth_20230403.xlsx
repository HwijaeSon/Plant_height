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m\iCloudDrive\문서\Raw data\Hypocotyl length\"/>
    </mc:Choice>
  </mc:AlternateContent>
  <xr:revisionPtr revIDLastSave="0" documentId="13_ncr:1_{9289DD35-6669-4B70-AE31-1D315389E67C}" xr6:coauthVersionLast="47" xr6:coauthVersionMax="47" xr10:uidLastSave="{00000000-0000-0000-0000-000000000000}"/>
  <bookViews>
    <workbookView xWindow="-110" yWindow="-110" windowWidth="25820" windowHeight="15500" xr2:uid="{FCD866DD-13A5-4AE7-9C9A-93D6F141F3DE}"/>
  </bookViews>
  <sheets>
    <sheet name="12L12D" sheetId="1" r:id="rId1"/>
    <sheet name="c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7" i="1" l="1"/>
  <c r="V47" i="1"/>
  <c r="L47" i="2"/>
  <c r="E55" i="2"/>
  <c r="I67" i="2"/>
  <c r="I66" i="2"/>
  <c r="H66" i="2"/>
  <c r="F66" i="2"/>
  <c r="E66" i="2"/>
  <c r="I65" i="2"/>
  <c r="G65" i="2"/>
  <c r="F65" i="2"/>
  <c r="E65" i="2"/>
  <c r="I64" i="2"/>
  <c r="H64" i="2"/>
  <c r="G64" i="2"/>
  <c r="F64" i="2"/>
  <c r="E64" i="2"/>
  <c r="I63" i="2"/>
  <c r="H63" i="2"/>
  <c r="G63" i="2"/>
  <c r="F63" i="2"/>
  <c r="E63" i="2"/>
  <c r="I62" i="2"/>
  <c r="H62" i="2"/>
  <c r="G62" i="2"/>
  <c r="F62" i="2"/>
  <c r="E62" i="2"/>
  <c r="I61" i="2"/>
  <c r="I60" i="2"/>
  <c r="I59" i="2"/>
  <c r="F59" i="2"/>
  <c r="E59" i="2"/>
  <c r="I58" i="2"/>
  <c r="H58" i="2"/>
  <c r="G58" i="2"/>
  <c r="F58" i="2"/>
  <c r="E58" i="2"/>
  <c r="I57" i="2"/>
  <c r="H57" i="2"/>
  <c r="G57" i="2"/>
  <c r="F57" i="2"/>
  <c r="E57" i="2"/>
  <c r="I56" i="2"/>
  <c r="H56" i="2"/>
  <c r="G56" i="2"/>
  <c r="F56" i="2"/>
  <c r="E56" i="2"/>
  <c r="I55" i="2"/>
  <c r="H55" i="2"/>
  <c r="G55" i="2"/>
  <c r="F55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K47" i="2"/>
  <c r="J47" i="2"/>
  <c r="I47" i="2"/>
  <c r="H47" i="2"/>
  <c r="G47" i="2"/>
  <c r="AJ46" i="2"/>
  <c r="I68" i="2" s="1"/>
  <c r="AI46" i="2"/>
  <c r="H68" i="2" s="1"/>
  <c r="AH46" i="2"/>
  <c r="G68" i="2" s="1"/>
  <c r="AG46" i="2"/>
  <c r="F68" i="2" s="1"/>
  <c r="AF46" i="2"/>
  <c r="E68" i="2" s="1"/>
  <c r="AE46" i="2"/>
  <c r="AD46" i="2"/>
  <c r="H67" i="2" s="1"/>
  <c r="AC46" i="2"/>
  <c r="G67" i="2" s="1"/>
  <c r="AB46" i="2"/>
  <c r="F67" i="2" s="1"/>
  <c r="AA46" i="2"/>
  <c r="E67" i="2" s="1"/>
  <c r="Z46" i="2"/>
  <c r="Y46" i="2"/>
  <c r="X46" i="2"/>
  <c r="G66" i="2" s="1"/>
  <c r="W46" i="2"/>
  <c r="V46" i="2"/>
  <c r="U46" i="2"/>
  <c r="T46" i="2"/>
  <c r="H65" i="2" s="1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J45" i="2"/>
  <c r="AI45" i="2"/>
  <c r="H61" i="2" s="1"/>
  <c r="AH45" i="2"/>
  <c r="G61" i="2" s="1"/>
  <c r="AG45" i="2"/>
  <c r="F61" i="2" s="1"/>
  <c r="AF45" i="2"/>
  <c r="E61" i="2" s="1"/>
  <c r="AE45" i="2"/>
  <c r="AD45" i="2"/>
  <c r="H60" i="2" s="1"/>
  <c r="AC45" i="2"/>
  <c r="G60" i="2" s="1"/>
  <c r="AB45" i="2"/>
  <c r="F60" i="2" s="1"/>
  <c r="AA45" i="2"/>
  <c r="E60" i="2" s="1"/>
  <c r="Z45" i="2"/>
  <c r="Y45" i="2"/>
  <c r="H59" i="2" s="1"/>
  <c r="X45" i="2"/>
  <c r="G59" i="2" s="1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F55" i="1"/>
  <c r="G55" i="1"/>
  <c r="H55" i="1"/>
  <c r="I55" i="1"/>
  <c r="F56" i="1"/>
  <c r="G56" i="1"/>
  <c r="H56" i="1"/>
  <c r="I56" i="1"/>
  <c r="H57" i="1"/>
  <c r="I57" i="1"/>
  <c r="F58" i="1"/>
  <c r="G58" i="1"/>
  <c r="H58" i="1"/>
  <c r="I58" i="1"/>
  <c r="G59" i="1"/>
  <c r="I59" i="1"/>
  <c r="F60" i="1"/>
  <c r="G60" i="1"/>
  <c r="H60" i="1"/>
  <c r="I60" i="1"/>
  <c r="F61" i="1"/>
  <c r="H61" i="1"/>
  <c r="I61" i="1"/>
  <c r="F62" i="1"/>
  <c r="G62" i="1"/>
  <c r="H62" i="1"/>
  <c r="I62" i="1"/>
  <c r="F63" i="1"/>
  <c r="G63" i="1"/>
  <c r="H63" i="1"/>
  <c r="I63" i="1"/>
  <c r="H64" i="1"/>
  <c r="I64" i="1"/>
  <c r="F65" i="1"/>
  <c r="G65" i="1"/>
  <c r="I65" i="1"/>
  <c r="F66" i="1"/>
  <c r="I66" i="1"/>
  <c r="F67" i="1"/>
  <c r="G67" i="1"/>
  <c r="H67" i="1"/>
  <c r="I67" i="1"/>
  <c r="F68" i="1"/>
  <c r="I68" i="1"/>
  <c r="E68" i="1"/>
  <c r="E67" i="1"/>
  <c r="E64" i="1"/>
  <c r="E63" i="1"/>
  <c r="E62" i="1"/>
  <c r="E61" i="1"/>
  <c r="E60" i="1"/>
  <c r="E58" i="1"/>
  <c r="E57" i="1"/>
  <c r="E56" i="1"/>
  <c r="E55" i="1"/>
  <c r="AG45" i="1"/>
  <c r="AH45" i="1"/>
  <c r="G61" i="1" s="1"/>
  <c r="AI45" i="1"/>
  <c r="AJ45" i="1"/>
  <c r="AG46" i="1"/>
  <c r="AH46" i="1"/>
  <c r="G68" i="1" s="1"/>
  <c r="AI46" i="1"/>
  <c r="H68" i="1" s="1"/>
  <c r="AJ46" i="1"/>
  <c r="AG47" i="1"/>
  <c r="AH47" i="1"/>
  <c r="AI47" i="1"/>
  <c r="AJ47" i="1"/>
  <c r="W47" i="1"/>
  <c r="Y47" i="1"/>
  <c r="Z47" i="1"/>
  <c r="AA47" i="1"/>
  <c r="AB47" i="1"/>
  <c r="AC47" i="1"/>
  <c r="AD47" i="1"/>
  <c r="AE47" i="1"/>
  <c r="AF47" i="1"/>
  <c r="W45" i="1"/>
  <c r="F59" i="1" s="1"/>
  <c r="X45" i="1"/>
  <c r="Y45" i="1"/>
  <c r="H59" i="1" s="1"/>
  <c r="Z45" i="1"/>
  <c r="AA45" i="1"/>
  <c r="AB45" i="1"/>
  <c r="AC45" i="1"/>
  <c r="AD45" i="1"/>
  <c r="AE45" i="1"/>
  <c r="AF45" i="1"/>
  <c r="W46" i="1"/>
  <c r="X46" i="1"/>
  <c r="G66" i="1" s="1"/>
  <c r="Y46" i="1"/>
  <c r="H66" i="1" s="1"/>
  <c r="Z46" i="1"/>
  <c r="AA46" i="1"/>
  <c r="AB46" i="1"/>
  <c r="AC46" i="1"/>
  <c r="AD46" i="1"/>
  <c r="AE46" i="1"/>
  <c r="AF46" i="1"/>
  <c r="R47" i="1"/>
  <c r="Q47" i="1"/>
  <c r="S47" i="1"/>
  <c r="T47" i="1"/>
  <c r="U47" i="1"/>
  <c r="M47" i="1"/>
  <c r="N47" i="1"/>
  <c r="O47" i="1"/>
  <c r="P47" i="1"/>
  <c r="H47" i="1"/>
  <c r="I47" i="1"/>
  <c r="J47" i="1"/>
  <c r="K47" i="1"/>
  <c r="L47" i="1"/>
  <c r="G47" i="1"/>
  <c r="C45" i="1"/>
  <c r="D45" i="1"/>
  <c r="E45" i="1"/>
  <c r="F45" i="1"/>
  <c r="G45" i="1"/>
  <c r="H45" i="1"/>
  <c r="I45" i="1"/>
  <c r="J45" i="1"/>
  <c r="K45" i="1"/>
  <c r="L45" i="1"/>
  <c r="M45" i="1"/>
  <c r="F57" i="1" s="1"/>
  <c r="N45" i="1"/>
  <c r="G57" i="1" s="1"/>
  <c r="O45" i="1"/>
  <c r="P45" i="1"/>
  <c r="Q45" i="1"/>
  <c r="R45" i="1"/>
  <c r="S45" i="1"/>
  <c r="T45" i="1"/>
  <c r="U45" i="1"/>
  <c r="V45" i="1"/>
  <c r="E59" i="1" s="1"/>
  <c r="C46" i="1"/>
  <c r="D46" i="1"/>
  <c r="E46" i="1"/>
  <c r="F46" i="1"/>
  <c r="G46" i="1"/>
  <c r="H46" i="1"/>
  <c r="I46" i="1"/>
  <c r="J46" i="1"/>
  <c r="K46" i="1"/>
  <c r="L46" i="1"/>
  <c r="M46" i="1"/>
  <c r="F64" i="1" s="1"/>
  <c r="N46" i="1"/>
  <c r="G64" i="1" s="1"/>
  <c r="O46" i="1"/>
  <c r="P46" i="1"/>
  <c r="Q46" i="1"/>
  <c r="E65" i="1" s="1"/>
  <c r="R46" i="1"/>
  <c r="S46" i="1"/>
  <c r="T46" i="1"/>
  <c r="H65" i="1" s="1"/>
  <c r="U46" i="1"/>
  <c r="V46" i="1"/>
  <c r="E66" i="1" s="1"/>
  <c r="B46" i="1"/>
  <c r="B45" i="1"/>
</calcChain>
</file>

<file path=xl/sharedStrings.xml><?xml version="1.0" encoding="utf-8"?>
<sst xmlns="http://schemas.openxmlformats.org/spreadsheetml/2006/main" count="104" uniqueCount="15">
  <si>
    <t>Col-0</t>
    <phoneticPr fontId="1" type="noConversion"/>
  </si>
  <si>
    <t>0hr</t>
    <phoneticPr fontId="1" type="noConversion"/>
  </si>
  <si>
    <t>hy5</t>
    <phoneticPr fontId="1" type="noConversion"/>
  </si>
  <si>
    <t>MLB</t>
    <phoneticPr fontId="1" type="noConversion"/>
  </si>
  <si>
    <t>EMS57</t>
    <phoneticPr fontId="1" type="noConversion"/>
  </si>
  <si>
    <t>phyAB</t>
    <phoneticPr fontId="1" type="noConversion"/>
  </si>
  <si>
    <t>12hr</t>
    <phoneticPr fontId="1" type="noConversion"/>
  </si>
  <si>
    <t>24hr</t>
    <phoneticPr fontId="1" type="noConversion"/>
  </si>
  <si>
    <t>36hr</t>
    <phoneticPr fontId="1" type="noConversion"/>
  </si>
  <si>
    <t>Average</t>
    <phoneticPr fontId="1" type="noConversion"/>
  </si>
  <si>
    <t>Stdev</t>
    <phoneticPr fontId="1" type="noConversion"/>
  </si>
  <si>
    <t>48hr</t>
    <phoneticPr fontId="1" type="noConversion"/>
  </si>
  <si>
    <t>60hr</t>
    <phoneticPr fontId="1" type="noConversion"/>
  </si>
  <si>
    <t>72hr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</si>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</sst>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3" xfId="0" applyBorder="1">
      <alignment vertical="center"/>
    </xf>
    <xf numFmtId="0" fontId="0" fillId="2" borderId="0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'12L12D'!$G$54</c:f>
              <c:strCache>
                <c:ptCount val="1"/>
                <c:pt idx="0">
                  <c:v>MLB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'12L12D'!$G$62:$G$68</c:f>
                <c:numCache>
                  <c:formatCode>General</c:formatCode>
                  <c:ptCount val="7"/>
                  <c:pt idx="0">
                    <c:v>0.16980552601922572</c:v>
                  </c:pt>
                  <c:pt idx="1">
                    <c:v>0.19547225097414569</c:v>
                  </c:pt>
                  <c:pt idx="2">
                    <c:v>0.335336353722682</c:v>
                  </c:pt>
                  <c:pt idx="3">
                    <c:v>0.52246501561379399</c:v>
                  </c:pt>
                  <c:pt idx="4">
                    <c:v>0.39699837140289557</c:v>
                  </c:pt>
                  <c:pt idx="5">
                    <c:v>0.76413006463678512</c:v>
                  </c:pt>
                  <c:pt idx="6">
                    <c:v>1.0493079163076036</c:v>
                  </c:pt>
                </c:numCache>
              </c:numRef>
            </c:plus>
            <c:minus>
              <c:numRef>
                <c:f>'12L12D'!$G$62:$G$68</c:f>
                <c:numCache>
                  <c:formatCode>General</c:formatCode>
                  <c:ptCount val="7"/>
                  <c:pt idx="0">
                    <c:v>0.16980552601922572</c:v>
                  </c:pt>
                  <c:pt idx="1">
                    <c:v>0.19547225097414569</c:v>
                  </c:pt>
                  <c:pt idx="2">
                    <c:v>0.335336353722682</c:v>
                  </c:pt>
                  <c:pt idx="3">
                    <c:v>0.52246501561379399</c:v>
                  </c:pt>
                  <c:pt idx="4">
                    <c:v>0.39699837140289557</c:v>
                  </c:pt>
                  <c:pt idx="5">
                    <c:v>0.76413006463678512</c:v>
                  </c:pt>
                  <c:pt idx="6">
                    <c:v>1.0493079163076036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'12L12D'!$D$55:$D$61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'12L12D'!$G$55:$G$61</c:f>
              <c:numCache>
                <c:formatCode>General</c:formatCode>
                <c:ptCount val="7"/>
                <c:pt idx="0">
                  <c:v>0.94100000000000028</c:v>
                </c:pt>
                <c:pt idx="1">
                  <c:v>1.4776486486486489</c:v>
                </c:pt>
                <c:pt idx="2">
                  <c:v>1.5634473684210526</c:v>
                </c:pt>
                <c:pt idx="3">
                  <c:v>1.8557187500000001</c:v>
                </c:pt>
                <c:pt idx="4">
                  <c:v>1.8392758620689655</c:v>
                </c:pt>
                <c:pt idx="5">
                  <c:v>2.5084545454545459</c:v>
                </c:pt>
                <c:pt idx="6">
                  <c:v>2.8756451612903233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3-4FA0-9F36-DA27B2D9FDD0}"/>
            </c:ext>
          </c:extLst>
        </c:ser>
        <c:ser>
          <c:idx val="3"/>
          <c:order val="1"/>
          <c:tx>
            <c:strRef>
              <c:f>'12L12D'!$H$54</c:f>
              <c:strCache>
                <c:ptCount val="1"/>
                <c:pt idx="0">
                  <c:v>EMS57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'12L12D'!$H$62:$H$68</c:f>
                <c:numCache>
                  <c:formatCode>General</c:formatCode>
                  <c:ptCount val="7"/>
                  <c:pt idx="0">
                    <c:v>0.15691016538134092</c:v>
                  </c:pt>
                  <c:pt idx="1">
                    <c:v>0.73932061477317113</c:v>
                  </c:pt>
                  <c:pt idx="2">
                    <c:v>0.84469848664083891</c:v>
                  </c:pt>
                  <c:pt idx="3">
                    <c:v>0.90712516855644598</c:v>
                  </c:pt>
                  <c:pt idx="4">
                    <c:v>1.1387645884373065</c:v>
                  </c:pt>
                  <c:pt idx="5">
                    <c:v>1.2040157183359441</c:v>
                  </c:pt>
                  <c:pt idx="6">
                    <c:v>1.3297888482583748</c:v>
                  </c:pt>
                </c:numCache>
              </c:numRef>
            </c:plus>
            <c:minus>
              <c:numRef>
                <c:f>'12L12D'!$H$62:$H$68</c:f>
                <c:numCache>
                  <c:formatCode>General</c:formatCode>
                  <c:ptCount val="7"/>
                  <c:pt idx="0">
                    <c:v>0.15691016538134092</c:v>
                  </c:pt>
                  <c:pt idx="1">
                    <c:v>0.73932061477317113</c:v>
                  </c:pt>
                  <c:pt idx="2">
                    <c:v>0.84469848664083891</c:v>
                  </c:pt>
                  <c:pt idx="3">
                    <c:v>0.90712516855644598</c:v>
                  </c:pt>
                  <c:pt idx="4">
                    <c:v>1.1387645884373065</c:v>
                  </c:pt>
                  <c:pt idx="5">
                    <c:v>1.2040157183359441</c:v>
                  </c:pt>
                  <c:pt idx="6">
                    <c:v>1.3297888482583748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'12L12D'!$D$55:$D$61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'12L12D'!$H$55:$H$61</c:f>
              <c:numCache>
                <c:formatCode>General</c:formatCode>
                <c:ptCount val="7"/>
                <c:pt idx="0">
                  <c:v>1.0160000000000002</c:v>
                </c:pt>
                <c:pt idx="1">
                  <c:v>4.057599999999999</c:v>
                </c:pt>
                <c:pt idx="2">
                  <c:v>5.4462500000000009</c:v>
                </c:pt>
                <c:pt idx="3">
                  <c:v>7.1279285714285718</c:v>
                </c:pt>
                <c:pt idx="4">
                  <c:v>8.0173333333333332</c:v>
                </c:pt>
                <c:pt idx="5">
                  <c:v>9.0021249999999995</c:v>
                </c:pt>
                <c:pt idx="6">
                  <c:v>9.9983333333333348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3-4FA0-9F36-DA27B2D9FDD0}"/>
            </c:ext>
          </c:extLst>
        </c:ser>
        <c:ser>
          <c:idx val="4"/>
          <c:order val="2"/>
          <c:tx>
            <c:strRef>
              <c:f>'12L12D'!$I$54</c:f>
              <c:strCache>
                <c:ptCount val="1"/>
                <c:pt idx="0">
                  <c:v>phyAB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'12L12D'!$I$62:$I$68</c:f>
                <c:numCache>
                  <c:formatCode>General</c:formatCode>
                  <c:ptCount val="7"/>
                  <c:pt idx="0">
                    <c:v>0.23846444482113111</c:v>
                  </c:pt>
                  <c:pt idx="1">
                    <c:v>0.39987800123664702</c:v>
                  </c:pt>
                  <c:pt idx="2">
                    <c:v>0.6294841338546785</c:v>
                  </c:pt>
                  <c:pt idx="3">
                    <c:v>0.57741867741895758</c:v>
                  </c:pt>
                  <c:pt idx="4">
                    <c:v>0.71136067200950759</c:v>
                  </c:pt>
                  <c:pt idx="5">
                    <c:v>0.83971483175971628</c:v>
                  </c:pt>
                  <c:pt idx="6">
                    <c:v>0.80598428854854032</c:v>
                  </c:pt>
                </c:numCache>
              </c:numRef>
            </c:plus>
            <c:minus>
              <c:numRef>
                <c:f>'12L12D'!$I$62:$I$68</c:f>
                <c:numCache>
                  <c:formatCode>General</c:formatCode>
                  <c:ptCount val="7"/>
                  <c:pt idx="0">
                    <c:v>0.23846444482113111</c:v>
                  </c:pt>
                  <c:pt idx="1">
                    <c:v>0.39987800123664702</c:v>
                  </c:pt>
                  <c:pt idx="2">
                    <c:v>0.6294841338546785</c:v>
                  </c:pt>
                  <c:pt idx="3">
                    <c:v>0.57741867741895758</c:v>
                  </c:pt>
                  <c:pt idx="4">
                    <c:v>0.71136067200950759</c:v>
                  </c:pt>
                  <c:pt idx="5">
                    <c:v>0.83971483175971628</c:v>
                  </c:pt>
                  <c:pt idx="6">
                    <c:v>0.80598428854854032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'12L12D'!$D$55:$D$61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'12L12D'!$I$55:$I$61</c:f>
              <c:numCache>
                <c:formatCode>General</c:formatCode>
                <c:ptCount val="7"/>
                <c:pt idx="0">
                  <c:v>1.6352647058823528</c:v>
                </c:pt>
                <c:pt idx="1">
                  <c:v>4.6686111111111108</c:v>
                </c:pt>
                <c:pt idx="2">
                  <c:v>6.4009459459459457</c:v>
                </c:pt>
                <c:pt idx="3">
                  <c:v>8.1460645161290337</c:v>
                </c:pt>
                <c:pt idx="4">
                  <c:v>9.1575454545454544</c:v>
                </c:pt>
                <c:pt idx="5">
                  <c:v>10.731964285714284</c:v>
                </c:pt>
                <c:pt idx="6">
                  <c:v>11.799312500000001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53-4FA0-9F36-DA27B2D9F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535999"/>
        <c:axId val="814535583"/>
      </c:lineChart>
      <c:catAx>
        <c:axId val="81453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814535583"/>
        <c:crosses val="autoZero"/>
        <c:auto val="1"/>
        <c:lblAlgn val="ctr"/>
        <c:lblOffset val="100"/>
        <c:noMultiLvlLbl val="0"/>
      </c:catAx>
      <c:valAx>
        <c:axId val="814535583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ko-KR"/>
                  <a:t>Hypocotyl Length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81453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'12L12D'!$E$54</c:f>
              <c:strCache>
                <c:ptCount val="1"/>
                <c:pt idx="0">
                  <c:v>Col-0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'12L12D'!$E$62:$E$68</c:f>
                <c:numCache>
                  <c:formatCode>General</c:formatCode>
                  <c:ptCount val="7"/>
                  <c:pt idx="0">
                    <c:v>0.18043540249334383</c:v>
                  </c:pt>
                  <c:pt idx="1">
                    <c:v>0.37039941388513509</c:v>
                  </c:pt>
                  <c:pt idx="2">
                    <c:v>0.38406810919419121</c:v>
                  </c:pt>
                  <c:pt idx="3">
                    <c:v>0.37312381866877498</c:v>
                  </c:pt>
                  <c:pt idx="4">
                    <c:v>0.37749444487830114</c:v>
                  </c:pt>
                  <c:pt idx="5">
                    <c:v>0.90458263856875232</c:v>
                  </c:pt>
                  <c:pt idx="6">
                    <c:v>0.71689045420715458</c:v>
                  </c:pt>
                </c:numCache>
              </c:numRef>
            </c:plus>
            <c:minus>
              <c:numRef>
                <c:f>'12L12D'!$E$62:$E$68</c:f>
                <c:numCache>
                  <c:formatCode>General</c:formatCode>
                  <c:ptCount val="7"/>
                  <c:pt idx="0">
                    <c:v>0.18043540249334383</c:v>
                  </c:pt>
                  <c:pt idx="1">
                    <c:v>0.37039941388513509</c:v>
                  </c:pt>
                  <c:pt idx="2">
                    <c:v>0.38406810919419121</c:v>
                  </c:pt>
                  <c:pt idx="3">
                    <c:v>0.37312381866877498</c:v>
                  </c:pt>
                  <c:pt idx="4">
                    <c:v>0.37749444487830114</c:v>
                  </c:pt>
                  <c:pt idx="5">
                    <c:v>0.90458263856875232</c:v>
                  </c:pt>
                  <c:pt idx="6">
                    <c:v>0.71689045420715458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'12L12D'!$D$55:$D$61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'12L12D'!$E$55:$E$61</c:f>
              <c:numCache>
                <c:formatCode>General</c:formatCode>
                <c:ptCount val="7"/>
                <c:pt idx="0">
                  <c:v>1.0336296296296295</c:v>
                </c:pt>
                <c:pt idx="1">
                  <c:v>1.558125</c:v>
                </c:pt>
                <c:pt idx="2">
                  <c:v>1.7159999999999997</c:v>
                </c:pt>
                <c:pt idx="3">
                  <c:v>2.1785833333333335</c:v>
                </c:pt>
                <c:pt idx="4">
                  <c:v>2.6975483870967745</c:v>
                </c:pt>
                <c:pt idx="5">
                  <c:v>4.504999999999999</c:v>
                </c:pt>
                <c:pt idx="6">
                  <c:v>4.5505599999999991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B-4128-9812-1AB84EBD612E}"/>
            </c:ext>
          </c:extLst>
        </c:ser>
        <c:ser>
          <c:idx val="1"/>
          <c:order val="1"/>
          <c:tx>
            <c:strRef>
              <c:f>'12L12D'!$F$54</c:f>
              <c:strCache>
                <c:ptCount val="1"/>
                <c:pt idx="0">
                  <c:v>hy5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'12L12D'!$F$62:$F$68</c:f>
                <c:numCache>
                  <c:formatCode>General</c:formatCode>
                  <c:ptCount val="7"/>
                  <c:pt idx="0">
                    <c:v>0.33482020559661757</c:v>
                  </c:pt>
                  <c:pt idx="1">
                    <c:v>0.70296168732452491</c:v>
                  </c:pt>
                  <c:pt idx="2">
                    <c:v>0.67239971874875082</c:v>
                  </c:pt>
                  <c:pt idx="3">
                    <c:v>1.1428012923715936</c:v>
                  </c:pt>
                  <c:pt idx="4">
                    <c:v>1.0387205444994421</c:v>
                  </c:pt>
                  <c:pt idx="5">
                    <c:v>1.1933891159260017</c:v>
                  </c:pt>
                  <c:pt idx="6">
                    <c:v>1.2019920228472982</c:v>
                  </c:pt>
                </c:numCache>
              </c:numRef>
            </c:plus>
            <c:minus>
              <c:numRef>
                <c:f>'12L12D'!$F$62:$F$68</c:f>
                <c:numCache>
                  <c:formatCode>General</c:formatCode>
                  <c:ptCount val="7"/>
                  <c:pt idx="0">
                    <c:v>0.33482020559661757</c:v>
                  </c:pt>
                  <c:pt idx="1">
                    <c:v>0.70296168732452491</c:v>
                  </c:pt>
                  <c:pt idx="2">
                    <c:v>0.67239971874875082</c:v>
                  </c:pt>
                  <c:pt idx="3">
                    <c:v>1.1428012923715936</c:v>
                  </c:pt>
                  <c:pt idx="4">
                    <c:v>1.0387205444994421</c:v>
                  </c:pt>
                  <c:pt idx="5">
                    <c:v>1.1933891159260017</c:v>
                  </c:pt>
                  <c:pt idx="6">
                    <c:v>1.2019920228472982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'12L12D'!$D$55:$D$61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'12L12D'!$F$55:$F$61</c:f>
              <c:numCache>
                <c:formatCode>General</c:formatCode>
                <c:ptCount val="7"/>
                <c:pt idx="0">
                  <c:v>2.5384848484848477</c:v>
                </c:pt>
                <c:pt idx="1">
                  <c:v>4.9354230769230778</c:v>
                </c:pt>
                <c:pt idx="2">
                  <c:v>5.5011034482758614</c:v>
                </c:pt>
                <c:pt idx="3">
                  <c:v>7.2970769230769212</c:v>
                </c:pt>
                <c:pt idx="4">
                  <c:v>8.0742499999999993</c:v>
                </c:pt>
                <c:pt idx="5">
                  <c:v>9.657785714285712</c:v>
                </c:pt>
                <c:pt idx="6">
                  <c:v>10.733066666666666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B-4128-9812-1AB84EBD6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535999"/>
        <c:axId val="814535583"/>
      </c:lineChart>
      <c:catAx>
        <c:axId val="81453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814535583"/>
        <c:crosses val="autoZero"/>
        <c:auto val="1"/>
        <c:lblAlgn val="ctr"/>
        <c:lblOffset val="100"/>
        <c:noMultiLvlLbl val="0"/>
      </c:catAx>
      <c:valAx>
        <c:axId val="814535583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ko-KR"/>
                  <a:t>Hypocotyl</a:t>
                </a:r>
                <a:r>
                  <a:rPr lang="en-US" altLang="ko-KR" baseline="0"/>
                  <a:t> length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81453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cR!$E$54</c:f>
              <c:strCache>
                <c:ptCount val="1"/>
                <c:pt idx="0">
                  <c:v>Col-0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cR!$E$62:$E$68</c:f>
                <c:numCache>
                  <c:formatCode>General</c:formatCode>
                  <c:ptCount val="7"/>
                  <c:pt idx="0">
                    <c:v>0.23451818219016074</c:v>
                  </c:pt>
                  <c:pt idx="1">
                    <c:v>0.40834200034690799</c:v>
                  </c:pt>
                  <c:pt idx="2">
                    <c:v>0.49678405424462069</c:v>
                  </c:pt>
                  <c:pt idx="3">
                    <c:v>0.8043024278855806</c:v>
                  </c:pt>
                  <c:pt idx="4">
                    <c:v>0.4683652158141286</c:v>
                  </c:pt>
                  <c:pt idx="5">
                    <c:v>0.94192000582800373</c:v>
                  </c:pt>
                  <c:pt idx="6">
                    <c:v>0.8928865381220964</c:v>
                  </c:pt>
                </c:numCache>
              </c:numRef>
            </c:plus>
            <c:minus>
              <c:numRef>
                <c:f>cR!$E$62:$E$68</c:f>
                <c:numCache>
                  <c:formatCode>General</c:formatCode>
                  <c:ptCount val="7"/>
                  <c:pt idx="0">
                    <c:v>0.23451818219016074</c:v>
                  </c:pt>
                  <c:pt idx="1">
                    <c:v>0.40834200034690799</c:v>
                  </c:pt>
                  <c:pt idx="2">
                    <c:v>0.49678405424462069</c:v>
                  </c:pt>
                  <c:pt idx="3">
                    <c:v>0.8043024278855806</c:v>
                  </c:pt>
                  <c:pt idx="4">
                    <c:v>0.4683652158141286</c:v>
                  </c:pt>
                  <c:pt idx="5">
                    <c:v>0.94192000582800373</c:v>
                  </c:pt>
                  <c:pt idx="6">
                    <c:v>0.8928865381220964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cR!$D$55:$D$61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cR!$E$55:$E$61</c:f>
              <c:numCache>
                <c:formatCode>General</c:formatCode>
                <c:ptCount val="7"/>
                <c:pt idx="0">
                  <c:v>1.2070000000000001</c:v>
                </c:pt>
                <c:pt idx="1">
                  <c:v>2.1294516129032255</c:v>
                </c:pt>
                <c:pt idx="2">
                  <c:v>3.4205000000000001</c:v>
                </c:pt>
                <c:pt idx="3">
                  <c:v>4.8723928571428576</c:v>
                </c:pt>
                <c:pt idx="4">
                  <c:v>5.5598461538461557</c:v>
                </c:pt>
                <c:pt idx="5">
                  <c:v>6.639156250000001</c:v>
                </c:pt>
                <c:pt idx="6">
                  <c:v>7.0302187500000022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4D-40B0-AAFC-5D7954DB21A9}"/>
            </c:ext>
          </c:extLst>
        </c:ser>
        <c:ser>
          <c:idx val="1"/>
          <c:order val="1"/>
          <c:tx>
            <c:strRef>
              <c:f>cR!$F$54</c:f>
              <c:strCache>
                <c:ptCount val="1"/>
                <c:pt idx="0">
                  <c:v>hy5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cR!$F$62:$F$68</c:f>
                <c:numCache>
                  <c:formatCode>General</c:formatCode>
                  <c:ptCount val="7"/>
                  <c:pt idx="0">
                    <c:v>0.33613250134662587</c:v>
                  </c:pt>
                  <c:pt idx="1">
                    <c:v>0.66705812874624615</c:v>
                  </c:pt>
                  <c:pt idx="2">
                    <c:v>0.66666255232265359</c:v>
                  </c:pt>
                  <c:pt idx="3">
                    <c:v>1.0395891994935744</c:v>
                  </c:pt>
                  <c:pt idx="4">
                    <c:v>1.046376881654759</c:v>
                  </c:pt>
                  <c:pt idx="5">
                    <c:v>1.26604419869272</c:v>
                  </c:pt>
                  <c:pt idx="6">
                    <c:v>0.86053279754590062</c:v>
                  </c:pt>
                </c:numCache>
              </c:numRef>
            </c:plus>
            <c:minus>
              <c:numRef>
                <c:f>cR!$F$62:$F$68</c:f>
                <c:numCache>
                  <c:formatCode>General</c:formatCode>
                  <c:ptCount val="7"/>
                  <c:pt idx="0">
                    <c:v>0.33613250134662587</c:v>
                  </c:pt>
                  <c:pt idx="1">
                    <c:v>0.66705812874624615</c:v>
                  </c:pt>
                  <c:pt idx="2">
                    <c:v>0.66666255232265359</c:v>
                  </c:pt>
                  <c:pt idx="3">
                    <c:v>1.0395891994935744</c:v>
                  </c:pt>
                  <c:pt idx="4">
                    <c:v>1.046376881654759</c:v>
                  </c:pt>
                  <c:pt idx="5">
                    <c:v>1.26604419869272</c:v>
                  </c:pt>
                  <c:pt idx="6">
                    <c:v>0.86053279754590062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cR!$D$55:$D$61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cR!$F$55:$F$61</c:f>
              <c:numCache>
                <c:formatCode>General</c:formatCode>
                <c:ptCount val="7"/>
                <c:pt idx="0">
                  <c:v>2.0815384615384613</c:v>
                </c:pt>
                <c:pt idx="1">
                  <c:v>4.6127333333333329</c:v>
                </c:pt>
                <c:pt idx="2">
                  <c:v>6.7185937500000001</c:v>
                </c:pt>
                <c:pt idx="3">
                  <c:v>8.233629629629629</c:v>
                </c:pt>
                <c:pt idx="4">
                  <c:v>10.057461538461537</c:v>
                </c:pt>
                <c:pt idx="5">
                  <c:v>11.515000000000001</c:v>
                </c:pt>
                <c:pt idx="6">
                  <c:v>12.294826086956522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4D-40B0-AAFC-5D7954DB2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905999"/>
        <c:axId val="613906415"/>
      </c:lineChart>
      <c:catAx>
        <c:axId val="61390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13906415"/>
        <c:crosses val="autoZero"/>
        <c:auto val="1"/>
        <c:lblAlgn val="ctr"/>
        <c:lblOffset val="100"/>
        <c:noMultiLvlLbl val="0"/>
      </c:catAx>
      <c:valAx>
        <c:axId val="6139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ko-KR"/>
                  <a:t>Hypocotyl Length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1390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cR!$G$54</c:f>
              <c:strCache>
                <c:ptCount val="1"/>
                <c:pt idx="0">
                  <c:v>MLB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cR!$G$62:$G$68</c:f>
                <c:numCache>
                  <c:formatCode>General</c:formatCode>
                  <c:ptCount val="7"/>
                  <c:pt idx="0">
                    <c:v>0.12009003032981348</c:v>
                  </c:pt>
                  <c:pt idx="1">
                    <c:v>0.33623605555839647</c:v>
                  </c:pt>
                  <c:pt idx="2">
                    <c:v>0.46995948570881074</c:v>
                  </c:pt>
                  <c:pt idx="3">
                    <c:v>0.60237261491187655</c:v>
                  </c:pt>
                  <c:pt idx="4">
                    <c:v>0.78545449071809947</c:v>
                  </c:pt>
                  <c:pt idx="5">
                    <c:v>0.80249658291571635</c:v>
                  </c:pt>
                  <c:pt idx="6">
                    <c:v>1.0196218810436777</c:v>
                  </c:pt>
                </c:numCache>
              </c:numRef>
            </c:plus>
            <c:minus>
              <c:numRef>
                <c:f>cR!$G$62:$G$68</c:f>
                <c:numCache>
                  <c:formatCode>General</c:formatCode>
                  <c:ptCount val="7"/>
                  <c:pt idx="0">
                    <c:v>0.12009003032981348</c:v>
                  </c:pt>
                  <c:pt idx="1">
                    <c:v>0.33623605555839647</c:v>
                  </c:pt>
                  <c:pt idx="2">
                    <c:v>0.46995948570881074</c:v>
                  </c:pt>
                  <c:pt idx="3">
                    <c:v>0.60237261491187655</c:v>
                  </c:pt>
                  <c:pt idx="4">
                    <c:v>0.78545449071809947</c:v>
                  </c:pt>
                  <c:pt idx="5">
                    <c:v>0.80249658291571635</c:v>
                  </c:pt>
                  <c:pt idx="6">
                    <c:v>1.0196218810436777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cR!$D$55:$D$61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cR!$G$55:$G$61</c:f>
              <c:numCache>
                <c:formatCode>General</c:formatCode>
                <c:ptCount val="7"/>
                <c:pt idx="0">
                  <c:v>1.0740000000000001</c:v>
                </c:pt>
                <c:pt idx="1">
                  <c:v>2.0519333333333334</c:v>
                </c:pt>
                <c:pt idx="2">
                  <c:v>3.7800263157894727</c:v>
                </c:pt>
                <c:pt idx="3">
                  <c:v>5.1452142857142862</c:v>
                </c:pt>
                <c:pt idx="4">
                  <c:v>5.6819032258064528</c:v>
                </c:pt>
                <c:pt idx="5">
                  <c:v>6.3329677419354828</c:v>
                </c:pt>
                <c:pt idx="6">
                  <c:v>6.738696969696969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F-4B03-9FD8-1CA6E75DDA79}"/>
            </c:ext>
          </c:extLst>
        </c:ser>
        <c:ser>
          <c:idx val="3"/>
          <c:order val="1"/>
          <c:tx>
            <c:strRef>
              <c:f>cR!$H$54</c:f>
              <c:strCache>
                <c:ptCount val="1"/>
                <c:pt idx="0">
                  <c:v>EMS57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cR!$H$62:$H$68</c:f>
                <c:numCache>
                  <c:formatCode>General</c:formatCode>
                  <c:ptCount val="7"/>
                  <c:pt idx="0">
                    <c:v>7.7674534651540356E-3</c:v>
                  </c:pt>
                  <c:pt idx="1">
                    <c:v>0.45840990702333467</c:v>
                  </c:pt>
                  <c:pt idx="2">
                    <c:v>0.55337670512750881</c:v>
                  </c:pt>
                  <c:pt idx="3">
                    <c:v>0.88771744176300282</c:v>
                  </c:pt>
                  <c:pt idx="4">
                    <c:v>0.76703537677917399</c:v>
                  </c:pt>
                  <c:pt idx="5">
                    <c:v>0.6966903745725056</c:v>
                  </c:pt>
                  <c:pt idx="6">
                    <c:v>1.3483092593964818</c:v>
                  </c:pt>
                </c:numCache>
              </c:numRef>
            </c:plus>
            <c:minus>
              <c:numRef>
                <c:f>cR!$H$62:$H$68</c:f>
                <c:numCache>
                  <c:formatCode>General</c:formatCode>
                  <c:ptCount val="7"/>
                  <c:pt idx="0">
                    <c:v>7.7674534651540356E-3</c:v>
                  </c:pt>
                  <c:pt idx="1">
                    <c:v>0.45840990702333467</c:v>
                  </c:pt>
                  <c:pt idx="2">
                    <c:v>0.55337670512750881</c:v>
                  </c:pt>
                  <c:pt idx="3">
                    <c:v>0.88771744176300282</c:v>
                  </c:pt>
                  <c:pt idx="4">
                    <c:v>0.76703537677917399</c:v>
                  </c:pt>
                  <c:pt idx="5">
                    <c:v>0.6966903745725056</c:v>
                  </c:pt>
                  <c:pt idx="6">
                    <c:v>1.3483092593964818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cR!$D$55:$D$61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cR!$H$55:$H$61</c:f>
              <c:numCache>
                <c:formatCode>General</c:formatCode>
                <c:ptCount val="7"/>
                <c:pt idx="0">
                  <c:v>0.91866666666666674</c:v>
                </c:pt>
                <c:pt idx="1">
                  <c:v>2.5227500000000003</c:v>
                </c:pt>
                <c:pt idx="2">
                  <c:v>5.5025555555555563</c:v>
                </c:pt>
                <c:pt idx="3">
                  <c:v>7.7306153846153851</c:v>
                </c:pt>
                <c:pt idx="4">
                  <c:v>9.295461538461538</c:v>
                </c:pt>
                <c:pt idx="5">
                  <c:v>10.275642857142858</c:v>
                </c:pt>
                <c:pt idx="6">
                  <c:v>11.21423076923077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9F-4B03-9FD8-1CA6E75DDA79}"/>
            </c:ext>
          </c:extLst>
        </c:ser>
        <c:ser>
          <c:idx val="4"/>
          <c:order val="2"/>
          <c:tx>
            <c:strRef>
              <c:f>cR!$I$54</c:f>
              <c:strCache>
                <c:ptCount val="1"/>
                <c:pt idx="0">
                  <c:v>phyAB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cR!$I$62:$I$68</c:f>
                <c:numCache>
                  <c:formatCode>General</c:formatCode>
                  <c:ptCount val="7"/>
                  <c:pt idx="0">
                    <c:v>0.26161198445284728</c:v>
                  </c:pt>
                  <c:pt idx="1">
                    <c:v>0.76718803403721347</c:v>
                  </c:pt>
                  <c:pt idx="2">
                    <c:v>0.7951760500699443</c:v>
                  </c:pt>
                  <c:pt idx="3">
                    <c:v>0.77270613082554496</c:v>
                  </c:pt>
                  <c:pt idx="4">
                    <c:v>1.1212758502072824</c:v>
                  </c:pt>
                  <c:pt idx="5">
                    <c:v>1.0220927257348034</c:v>
                  </c:pt>
                  <c:pt idx="6">
                    <c:v>0.85872509006260578</c:v>
                  </c:pt>
                </c:numCache>
              </c:numRef>
            </c:plus>
            <c:minus>
              <c:numRef>
                <c:f>cR!$I$62:$I$68</c:f>
                <c:numCache>
                  <c:formatCode>General</c:formatCode>
                  <c:ptCount val="7"/>
                  <c:pt idx="0">
                    <c:v>0.26161198445284728</c:v>
                  </c:pt>
                  <c:pt idx="1">
                    <c:v>0.76718803403721347</c:v>
                  </c:pt>
                  <c:pt idx="2">
                    <c:v>0.7951760500699443</c:v>
                  </c:pt>
                  <c:pt idx="3">
                    <c:v>0.77270613082554496</c:v>
                  </c:pt>
                  <c:pt idx="4">
                    <c:v>1.1212758502072824</c:v>
                  </c:pt>
                  <c:pt idx="5">
                    <c:v>1.0220927257348034</c:v>
                  </c:pt>
                  <c:pt idx="6">
                    <c:v>0.85872509006260578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cR!$D$55:$D$61</c:f>
              <c:numCache>
                <c:formatCode>General</c:formatCode>
                <c:ptCount val="7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36</c:v>
                </c:pt>
                <c:pt idx="4">
                  <c:v>48</c:v>
                </c:pt>
                <c:pt idx="5">
                  <c:v>60</c:v>
                </c:pt>
                <c:pt idx="6">
                  <c:v>72</c:v>
                </c:pt>
              </c:numCache>
            </c:numRef>
          </c:cat>
          <c:val>
            <c:numRef>
              <c:f>cR!$I$55:$I$61</c:f>
              <c:numCache>
                <c:formatCode>General</c:formatCode>
                <c:ptCount val="7"/>
                <c:pt idx="0">
                  <c:v>1.3730526315789473</c:v>
                </c:pt>
                <c:pt idx="1">
                  <c:v>4.2712903225806462</c:v>
                </c:pt>
                <c:pt idx="2">
                  <c:v>7.9547812500000017</c:v>
                </c:pt>
                <c:pt idx="3">
                  <c:v>10.580269230769229</c:v>
                </c:pt>
                <c:pt idx="4">
                  <c:v>11.939125000000001</c:v>
                </c:pt>
                <c:pt idx="5">
                  <c:v>13.402040000000001</c:v>
                </c:pt>
                <c:pt idx="6">
                  <c:v>14.935696969696973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9F-4B03-9FD8-1CA6E75DD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905999"/>
        <c:axId val="613906415"/>
      </c:lineChart>
      <c:catAx>
        <c:axId val="613905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13906415"/>
        <c:crosses val="autoZero"/>
        <c:auto val="1"/>
        <c:lblAlgn val="ctr"/>
        <c:lblOffset val="100"/>
        <c:noMultiLvlLbl val="0"/>
      </c:catAx>
      <c:valAx>
        <c:axId val="61390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ko-KR"/>
                  <a:t>Hypocotyl Length (mm)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ko-KR"/>
          </a:p>
        </c:txPr>
        <c:crossAx val="61390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308908</xdr:colOff>
      <xdr:row>61</xdr:row>
      <xdr:rowOff>65555</xdr:rowOff>
    </xdr:from>
    <xdr:to>
      <xdr:col>12</xdr:col>
      <xdr:colOff>262591</xdr:colOff>
      <xdr:row>62</xdr:row>
      <xdr:rowOff>65555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EE57173-2EDD-4347-905C-D2AFF2AF11A7}"/>
            </a:ext>
          </a:extLst>
        </xdr:cNvPr>
        <xdr:cNvSpPr txBox="1"/>
      </xdr:nvSpPr>
      <xdr:spPr>
        <a:xfrm>
          <a:off x="7872879" y="13736731"/>
          <a:ext cx="614830" cy="224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17</xdr:col>
      <xdr:colOff>627529</xdr:colOff>
      <xdr:row>51</xdr:row>
      <xdr:rowOff>37353</xdr:rowOff>
    </xdr:from>
    <xdr:to>
      <xdr:col>25</xdr:col>
      <xdr:colOff>295988</xdr:colOff>
      <xdr:row>70</xdr:row>
      <xdr:rowOff>38506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2933DE5A-41A3-4D5F-8B89-D2F533CAB40A}"/>
            </a:ext>
          </a:extLst>
        </xdr:cNvPr>
        <xdr:cNvGrpSpPr/>
      </xdr:nvGrpSpPr>
      <xdr:grpSpPr>
        <a:xfrm>
          <a:off x="12146429" y="11048253"/>
          <a:ext cx="4951659" cy="4103253"/>
          <a:chOff x="12030315" y="11140782"/>
          <a:chExt cx="4893602" cy="4137724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FDD05D98-8644-4FED-B136-B7C86F07C28E}"/>
              </a:ext>
            </a:extLst>
          </xdr:cNvPr>
          <xdr:cNvGraphicFramePr>
            <a:graphicFrameLocks/>
          </xdr:cNvGraphicFramePr>
        </xdr:nvGraphicFramePr>
        <xdr:xfrm>
          <a:off x="12030315" y="11140782"/>
          <a:ext cx="4893602" cy="41377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FB32FED-3F04-4A7E-AC86-FACA3CFF2757}"/>
              </a:ext>
            </a:extLst>
          </xdr:cNvPr>
          <xdr:cNvSpPr txBox="1"/>
        </xdr:nvSpPr>
        <xdr:spPr>
          <a:xfrm>
            <a:off x="13629474" y="14247427"/>
            <a:ext cx="453119" cy="2625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200">
                <a:latin typeface="Arial" panose="020B0604020202020204" pitchFamily="34" charset="0"/>
                <a:cs typeface="Arial" panose="020B0604020202020204" pitchFamily="34" charset="0"/>
              </a:rPr>
              <a:t>n.s.</a:t>
            </a:r>
            <a:endParaRPr lang="ko-KR" alt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2E3D096-CAE8-45D1-B7DB-B7586E914FFE}"/>
              </a:ext>
            </a:extLst>
          </xdr:cNvPr>
          <xdr:cNvSpPr txBox="1"/>
        </xdr:nvSpPr>
        <xdr:spPr>
          <a:xfrm>
            <a:off x="14849662" y="14167679"/>
            <a:ext cx="457948" cy="2561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200">
                <a:latin typeface="Arial" panose="020B0604020202020204" pitchFamily="34" charset="0"/>
                <a:cs typeface="Arial" panose="020B0604020202020204" pitchFamily="34" charset="0"/>
              </a:rPr>
              <a:t>n.s.</a:t>
            </a:r>
            <a:endParaRPr lang="ko-KR" alt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F726EEB1-AF2F-4642-A037-D654511E96BF}"/>
              </a:ext>
            </a:extLst>
          </xdr:cNvPr>
          <xdr:cNvSpPr txBox="1"/>
        </xdr:nvSpPr>
        <xdr:spPr>
          <a:xfrm>
            <a:off x="16010271" y="13949964"/>
            <a:ext cx="457948" cy="2561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200">
                <a:latin typeface="Arial" panose="020B0604020202020204" pitchFamily="34" charset="0"/>
                <a:cs typeface="Arial" panose="020B0604020202020204" pitchFamily="34" charset="0"/>
              </a:rPr>
              <a:t>n.s.</a:t>
            </a:r>
            <a:endParaRPr lang="ko-KR" alt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10</xdr:col>
      <xdr:colOff>73892</xdr:colOff>
      <xdr:row>50</xdr:row>
      <xdr:rowOff>178955</xdr:rowOff>
    </xdr:from>
    <xdr:to>
      <xdr:col>17</xdr:col>
      <xdr:colOff>402937</xdr:colOff>
      <xdr:row>69</xdr:row>
      <xdr:rowOff>180108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CA58872B-A128-46EB-9F2F-D6D5B41938CD}"/>
            </a:ext>
          </a:extLst>
        </xdr:cNvPr>
        <xdr:cNvGrpSpPr/>
      </xdr:nvGrpSpPr>
      <xdr:grpSpPr>
        <a:xfrm>
          <a:off x="6969992" y="10973955"/>
          <a:ext cx="4951845" cy="4103253"/>
          <a:chOff x="6904678" y="11064669"/>
          <a:chExt cx="4901045" cy="4137725"/>
        </a:xfrm>
      </xdr:grpSpPr>
      <xdr:graphicFrame macro="">
        <xdr:nvGraphicFramePr>
          <xdr:cNvPr id="2" name="차트 1">
            <a:extLst>
              <a:ext uri="{FF2B5EF4-FFF2-40B4-BE49-F238E27FC236}">
                <a16:creationId xmlns:a16="http://schemas.microsoft.com/office/drawing/2014/main" id="{7FA0E371-2F0F-45C5-B60C-8A4888975F59}"/>
              </a:ext>
            </a:extLst>
          </xdr:cNvPr>
          <xdr:cNvGraphicFramePr/>
        </xdr:nvGraphicFramePr>
        <xdr:xfrm>
          <a:off x="6904678" y="11064669"/>
          <a:ext cx="4901045" cy="41377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3C7AE5A-03EF-4E94-9270-4C5F6D77F523}"/>
              </a:ext>
            </a:extLst>
          </xdr:cNvPr>
          <xdr:cNvSpPr txBox="1"/>
        </xdr:nvSpPr>
        <xdr:spPr>
          <a:xfrm>
            <a:off x="7874453" y="14021681"/>
            <a:ext cx="606825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899458C-3DE9-4ED5-88C7-68823996D6DA}"/>
              </a:ext>
            </a:extLst>
          </xdr:cNvPr>
          <xdr:cNvSpPr txBox="1"/>
        </xdr:nvSpPr>
        <xdr:spPr>
          <a:xfrm>
            <a:off x="7796012" y="13349301"/>
            <a:ext cx="600475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32CA18F-DBEC-426D-91F9-7EE642EF96C1}"/>
              </a:ext>
            </a:extLst>
          </xdr:cNvPr>
          <xdr:cNvSpPr txBox="1"/>
        </xdr:nvSpPr>
        <xdr:spPr>
          <a:xfrm>
            <a:off x="8527595" y="13868027"/>
            <a:ext cx="453119" cy="26253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200">
                <a:latin typeface="Arial" panose="020B0604020202020204" pitchFamily="34" charset="0"/>
                <a:cs typeface="Arial" panose="020B0604020202020204" pitchFamily="34" charset="0"/>
              </a:rPr>
              <a:t>n.s.</a:t>
            </a:r>
            <a:endParaRPr lang="ko-KR" alt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15594D8C-4456-44B3-92E2-F99BF4175DC4}"/>
              </a:ext>
            </a:extLst>
          </xdr:cNvPr>
          <xdr:cNvSpPr txBox="1"/>
        </xdr:nvSpPr>
        <xdr:spPr>
          <a:xfrm>
            <a:off x="8620417" y="12966727"/>
            <a:ext cx="312298" cy="2081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BA9CBB2B-724E-43CD-8A47-D8820A8FBD8C}"/>
              </a:ext>
            </a:extLst>
          </xdr:cNvPr>
          <xdr:cNvSpPr txBox="1"/>
        </xdr:nvSpPr>
        <xdr:spPr>
          <a:xfrm>
            <a:off x="9161127" y="13836650"/>
            <a:ext cx="447329" cy="239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456EE709-28B3-4A8C-90A7-424DB34AE79F}"/>
              </a:ext>
            </a:extLst>
          </xdr:cNvPr>
          <xdr:cNvSpPr txBox="1"/>
        </xdr:nvSpPr>
        <xdr:spPr>
          <a:xfrm>
            <a:off x="9087543" y="12608245"/>
            <a:ext cx="594126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6F10AB4-15F0-446C-945E-6AA46B2742F5}"/>
              </a:ext>
            </a:extLst>
          </xdr:cNvPr>
          <xdr:cNvSpPr txBox="1"/>
        </xdr:nvSpPr>
        <xdr:spPr>
          <a:xfrm>
            <a:off x="9698477" y="13726272"/>
            <a:ext cx="600476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867C236F-A57C-40CD-AEEE-1186E634B0A6}"/>
              </a:ext>
            </a:extLst>
          </xdr:cNvPr>
          <xdr:cNvSpPr txBox="1"/>
        </xdr:nvSpPr>
        <xdr:spPr>
          <a:xfrm>
            <a:off x="9773744" y="12355978"/>
            <a:ext cx="353199" cy="2474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D7083FAA-3DD2-4A4F-929C-59D0A2C6D0CB}"/>
              </a:ext>
            </a:extLst>
          </xdr:cNvPr>
          <xdr:cNvSpPr txBox="1"/>
        </xdr:nvSpPr>
        <xdr:spPr>
          <a:xfrm>
            <a:off x="10250767" y="13366109"/>
            <a:ext cx="603651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E589F36E-70BB-4972-8B19-52785B896B56}"/>
              </a:ext>
            </a:extLst>
          </xdr:cNvPr>
          <xdr:cNvSpPr txBox="1"/>
        </xdr:nvSpPr>
        <xdr:spPr>
          <a:xfrm>
            <a:off x="10258798" y="11973404"/>
            <a:ext cx="603651" cy="2177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***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1E3CAA3-C4BC-401F-81A8-7AE78FDD1392}"/>
              </a:ext>
            </a:extLst>
          </xdr:cNvPr>
          <xdr:cNvSpPr txBox="1"/>
        </xdr:nvSpPr>
        <xdr:spPr>
          <a:xfrm>
            <a:off x="10904843" y="13136443"/>
            <a:ext cx="461123" cy="2688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200">
                <a:latin typeface="Arial" panose="020B0604020202020204" pitchFamily="34" charset="0"/>
                <a:cs typeface="Arial" panose="020B0604020202020204" pitchFamily="34" charset="0"/>
              </a:rPr>
              <a:t>n.s.</a:t>
            </a:r>
            <a:endParaRPr lang="ko-KR" altLang="en-US" sz="12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B038B92-A7F5-4800-8552-757C475C7C88}"/>
              </a:ext>
            </a:extLst>
          </xdr:cNvPr>
          <xdr:cNvSpPr txBox="1"/>
        </xdr:nvSpPr>
        <xdr:spPr>
          <a:xfrm>
            <a:off x="10931179" y="11683598"/>
            <a:ext cx="361203" cy="2537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latin typeface="Arial" panose="020B0604020202020204" pitchFamily="34" charset="0"/>
                <a:cs typeface="Arial" panose="020B0604020202020204" pitchFamily="34" charset="0"/>
              </a:rPr>
              <a:t>*</a:t>
            </a:r>
            <a:endParaRPr lang="ko-KR" altLang="en-US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0.2182</cdr:x>
      <cdr:y>0.76699</cdr:y>
    </cdr:from>
    <cdr:to>
      <cdr:x>0.34093</cdr:x>
      <cdr:y>0.8196</cdr:y>
    </cdr:to>
    <cdr:sp macro="" textlink="">
      <cdr:nvSpPr>
        <cdr:cNvPr id="2" name="TextBox 5">
          <a:extLst xmlns:a="http://schemas.openxmlformats.org/drawingml/2006/main">
            <a:ext uri="{FF2B5EF4-FFF2-40B4-BE49-F238E27FC236}">
              <a16:creationId xmlns:a16="http://schemas.microsoft.com/office/drawing/2014/main" id="{7899458C-3DE9-4ED5-88C7-68823996D6DA}"/>
            </a:ext>
          </a:extLst>
        </cdr:cNvPr>
        <cdr:cNvSpPr txBox="1"/>
      </cdr:nvSpPr>
      <cdr:spPr>
        <a:xfrm xmlns:a="http://schemas.openxmlformats.org/drawingml/2006/main">
          <a:off x="1081741" y="3266888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0.23628</cdr:x>
      <cdr:y>0.66964</cdr:y>
    </cdr:from>
    <cdr:to>
      <cdr:x>0.35902</cdr:x>
      <cdr:y>0.72226</cdr:y>
    </cdr:to>
    <cdr:sp macro="" textlink="">
      <cdr:nvSpPr>
        <cdr:cNvPr id="3" name="TextBox 5">
          <a:extLst xmlns:a="http://schemas.openxmlformats.org/drawingml/2006/main">
            <a:ext uri="{FF2B5EF4-FFF2-40B4-BE49-F238E27FC236}">
              <a16:creationId xmlns:a16="http://schemas.microsoft.com/office/drawing/2014/main" id="{43609469-DA27-4D7D-91B4-1842D0463526}"/>
            </a:ext>
          </a:extLst>
        </cdr:cNvPr>
        <cdr:cNvSpPr txBox="1"/>
      </cdr:nvSpPr>
      <cdr:spPr>
        <a:xfrm xmlns:a="http://schemas.openxmlformats.org/drawingml/2006/main">
          <a:off x="1171388" y="2852271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0.19559</cdr:x>
      <cdr:y>0.57493</cdr:y>
    </cdr:from>
    <cdr:to>
      <cdr:x>0.31833</cdr:x>
      <cdr:y>0.62755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B3CB1F03-3E4C-4487-8F21-0808AFFE5D94}"/>
            </a:ext>
          </a:extLst>
        </cdr:cNvPr>
        <cdr:cNvSpPr txBox="1"/>
      </cdr:nvSpPr>
      <cdr:spPr>
        <a:xfrm xmlns:a="http://schemas.openxmlformats.org/drawingml/2006/main">
          <a:off x="969683" y="2448859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0.33573</cdr:x>
      <cdr:y>0.55388</cdr:y>
    </cdr:from>
    <cdr:to>
      <cdr:x>0.45847</cdr:x>
      <cdr:y>0.6065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B584AF21-14A7-4B22-B2A8-4ADE98B13283}"/>
            </a:ext>
          </a:extLst>
        </cdr:cNvPr>
        <cdr:cNvSpPr txBox="1"/>
      </cdr:nvSpPr>
      <cdr:spPr>
        <a:xfrm xmlns:a="http://schemas.openxmlformats.org/drawingml/2006/main">
          <a:off x="1664447" y="2359211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0.33121</cdr:x>
      <cdr:y>0.42234</cdr:y>
    </cdr:from>
    <cdr:to>
      <cdr:x>0.45395</cdr:x>
      <cdr:y>0.47496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82568E8-2648-4D6A-8499-88B58A699FD7}"/>
            </a:ext>
          </a:extLst>
        </cdr:cNvPr>
        <cdr:cNvSpPr txBox="1"/>
      </cdr:nvSpPr>
      <cdr:spPr>
        <a:xfrm xmlns:a="http://schemas.openxmlformats.org/drawingml/2006/main">
          <a:off x="1642036" y="1798918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0.44782</cdr:x>
      <cdr:y>0.7398</cdr:y>
    </cdr:from>
    <cdr:to>
      <cdr:x>0.547</cdr:x>
      <cdr:y>0.79364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DAF9CE8D-C278-42C2-9ACA-8C52F14413AA}"/>
            </a:ext>
          </a:extLst>
        </cdr:cNvPr>
        <cdr:cNvSpPr txBox="1"/>
      </cdr:nvSpPr>
      <cdr:spPr>
        <a:xfrm xmlns:a="http://schemas.openxmlformats.org/drawingml/2006/main">
          <a:off x="2220144" y="3151094"/>
          <a:ext cx="491680" cy="2293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0.45553</cdr:x>
      <cdr:y>0.46444</cdr:y>
    </cdr:from>
    <cdr:to>
      <cdr:x>0.57827</cdr:x>
      <cdr:y>0.51705</cdr:y>
    </cdr:to>
    <cdr:sp macro="" textlink="">
      <cdr:nvSpPr>
        <cdr:cNvPr id="8" name="TextBox 5">
          <a:extLst xmlns:a="http://schemas.openxmlformats.org/drawingml/2006/main">
            <a:ext uri="{FF2B5EF4-FFF2-40B4-BE49-F238E27FC236}">
              <a16:creationId xmlns:a16="http://schemas.microsoft.com/office/drawing/2014/main" id="{8C60B4F5-392C-41A0-A885-921C35D2F0B8}"/>
            </a:ext>
          </a:extLst>
        </cdr:cNvPr>
        <cdr:cNvSpPr txBox="1"/>
      </cdr:nvSpPr>
      <cdr:spPr>
        <a:xfrm xmlns:a="http://schemas.openxmlformats.org/drawingml/2006/main">
          <a:off x="2258358" y="1978211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0.44875</cdr:x>
      <cdr:y>0.31974</cdr:y>
    </cdr:from>
    <cdr:to>
      <cdr:x>0.57149</cdr:x>
      <cdr:y>0.37236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B23B8DCB-D460-40FB-8CA0-AFE0CD96F43B}"/>
            </a:ext>
          </a:extLst>
        </cdr:cNvPr>
        <cdr:cNvSpPr txBox="1"/>
      </cdr:nvSpPr>
      <cdr:spPr>
        <a:xfrm xmlns:a="http://schemas.openxmlformats.org/drawingml/2006/main">
          <a:off x="2224741" y="1361889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0.58663</cdr:x>
      <cdr:y>0.37499</cdr:y>
    </cdr:from>
    <cdr:to>
      <cdr:x>0.65323</cdr:x>
      <cdr:y>0.43322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67D06CCA-EF3F-402B-A429-6DE4E99D5771}"/>
            </a:ext>
          </a:extLst>
        </cdr:cNvPr>
        <cdr:cNvSpPr txBox="1"/>
      </cdr:nvSpPr>
      <cdr:spPr>
        <a:xfrm xmlns:a="http://schemas.openxmlformats.org/drawingml/2006/main">
          <a:off x="2908300" y="1597212"/>
          <a:ext cx="330200" cy="2480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0.56403</cdr:x>
      <cdr:y>0.24344</cdr:y>
    </cdr:from>
    <cdr:to>
      <cdr:x>0.68676</cdr:x>
      <cdr:y>0.29606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1B50603-F957-4A25-A4D6-65241700DCF9}"/>
            </a:ext>
          </a:extLst>
        </cdr:cNvPr>
        <cdr:cNvSpPr txBox="1"/>
      </cdr:nvSpPr>
      <cdr:spPr>
        <a:xfrm xmlns:a="http://schemas.openxmlformats.org/drawingml/2006/main">
          <a:off x="2796241" y="1036918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0.69287</cdr:x>
      <cdr:y>0.71437</cdr:y>
    </cdr:from>
    <cdr:to>
      <cdr:x>0.79204</cdr:x>
      <cdr:y>0.76821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64B93AB9-47E5-43EA-9195-9ED4D983A49F}"/>
            </a:ext>
          </a:extLst>
        </cdr:cNvPr>
        <cdr:cNvSpPr txBox="1"/>
      </cdr:nvSpPr>
      <cdr:spPr>
        <a:xfrm xmlns:a="http://schemas.openxmlformats.org/drawingml/2006/main">
          <a:off x="3434977" y="3042770"/>
          <a:ext cx="491680" cy="2293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0.71095</cdr:x>
      <cdr:y>0.31711</cdr:y>
    </cdr:from>
    <cdr:to>
      <cdr:x>0.77755</cdr:x>
      <cdr:y>0.37534</cdr:y>
    </cdr:to>
    <cdr:sp macro="" textlink="">
      <cdr:nvSpPr>
        <cdr:cNvPr id="13" name="TextBox 5">
          <a:extLst xmlns:a="http://schemas.openxmlformats.org/drawingml/2006/main">
            <a:ext uri="{FF2B5EF4-FFF2-40B4-BE49-F238E27FC236}">
              <a16:creationId xmlns:a16="http://schemas.microsoft.com/office/drawing/2014/main" id="{812E597D-0091-4E28-80AD-72A5D1546DDE}"/>
            </a:ext>
          </a:extLst>
        </cdr:cNvPr>
        <cdr:cNvSpPr txBox="1"/>
      </cdr:nvSpPr>
      <cdr:spPr>
        <a:xfrm xmlns:a="http://schemas.openxmlformats.org/drawingml/2006/main">
          <a:off x="3524624" y="1350682"/>
          <a:ext cx="330200" cy="2480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0.68156</cdr:x>
      <cdr:y>0.16189</cdr:y>
    </cdr:from>
    <cdr:to>
      <cdr:x>0.8043</cdr:x>
      <cdr:y>0.2145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2F153041-E60B-46FB-9761-8A195E4F69B0}"/>
            </a:ext>
          </a:extLst>
        </cdr:cNvPr>
        <cdr:cNvSpPr txBox="1"/>
      </cdr:nvSpPr>
      <cdr:spPr>
        <a:xfrm xmlns:a="http://schemas.openxmlformats.org/drawingml/2006/main">
          <a:off x="3378947" y="689535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0.83301</cdr:x>
      <cdr:y>0.25397</cdr:y>
    </cdr:from>
    <cdr:to>
      <cdr:x>0.89961</cdr:x>
      <cdr:y>0.3122</cdr:y>
    </cdr:to>
    <cdr:sp macro="" textlink="">
      <cdr:nvSpPr>
        <cdr:cNvPr id="15" name="TextBox 5">
          <a:extLst xmlns:a="http://schemas.openxmlformats.org/drawingml/2006/main">
            <a:ext uri="{FF2B5EF4-FFF2-40B4-BE49-F238E27FC236}">
              <a16:creationId xmlns:a16="http://schemas.microsoft.com/office/drawing/2014/main" id="{DDA9B180-E3EE-48E5-BD8B-1B61A600BDEB}"/>
            </a:ext>
          </a:extLst>
        </cdr:cNvPr>
        <cdr:cNvSpPr txBox="1"/>
      </cdr:nvSpPr>
      <cdr:spPr>
        <a:xfrm xmlns:a="http://schemas.openxmlformats.org/drawingml/2006/main">
          <a:off x="4129741" y="1081741"/>
          <a:ext cx="330200" cy="2480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0.81266</cdr:x>
      <cdr:y>0.08033</cdr:y>
    </cdr:from>
    <cdr:to>
      <cdr:x>0.9354</cdr:x>
      <cdr:y>0.13295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5BE56C83-C37F-4554-9E3C-44DED093A795}"/>
            </a:ext>
          </a:extLst>
        </cdr:cNvPr>
        <cdr:cNvSpPr txBox="1"/>
      </cdr:nvSpPr>
      <cdr:spPr>
        <a:xfrm xmlns:a="http://schemas.openxmlformats.org/drawingml/2006/main">
          <a:off x="4028888" y="342153"/>
          <a:ext cx="608480" cy="224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541617</xdr:colOff>
      <xdr:row>52</xdr:row>
      <xdr:rowOff>88527</xdr:rowOff>
    </xdr:from>
    <xdr:to>
      <xdr:col>16</xdr:col>
      <xdr:colOff>593474</xdr:colOff>
      <xdr:row>71</xdr:row>
      <xdr:rowOff>85606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8729C87-5F2D-4D91-B484-F01469D22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155230</xdr:colOff>
      <xdr:row>52</xdr:row>
      <xdr:rowOff>83269</xdr:rowOff>
    </xdr:from>
    <xdr:to>
      <xdr:col>25</xdr:col>
      <xdr:colOff>472880</xdr:colOff>
      <xdr:row>71</xdr:row>
      <xdr:rowOff>93048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C0732E1-5A11-4F6A-8CC5-5186768F2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0.20965</cdr:x>
      <cdr:y>0.69383</cdr:y>
    </cdr:from>
    <cdr:to>
      <cdr:x>0.30939</cdr:x>
      <cdr:y>0.74252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D3C7AE5A-03EF-4E94-9270-4C5F6D77F523}"/>
            </a:ext>
          </a:extLst>
        </cdr:cNvPr>
        <cdr:cNvSpPr txBox="1"/>
      </cdr:nvSpPr>
      <cdr:spPr>
        <a:xfrm xmlns:a="http://schemas.openxmlformats.org/drawingml/2006/main">
          <a:off x="1275443" y="3102775"/>
          <a:ext cx="606825" cy="2177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0.81113</cdr:x>
      <cdr:y>0.38382</cdr:y>
    </cdr:from>
    <cdr:to>
      <cdr:x>0.90925</cdr:x>
      <cdr:y>0.44276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532CA18F-DBEC-426D-91F9-7EE642EF96C1}"/>
            </a:ext>
          </a:extLst>
        </cdr:cNvPr>
        <cdr:cNvSpPr txBox="1"/>
      </cdr:nvSpPr>
      <cdr:spPr>
        <a:xfrm xmlns:a="http://schemas.openxmlformats.org/drawingml/2006/main">
          <a:off x="4002480" y="1635706"/>
          <a:ext cx="484167" cy="2511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200">
              <a:latin typeface="Arial" panose="020B0604020202020204" pitchFamily="34" charset="0"/>
              <a:cs typeface="Arial" panose="020B0604020202020204" pitchFamily="34" charset="0"/>
            </a:rPr>
            <a:t>n.s.</a:t>
          </a:r>
          <a:endParaRPr lang="ko-KR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0.20333</cdr:x>
      <cdr:y>0.57463</cdr:y>
    </cdr:from>
    <cdr:to>
      <cdr:x>0.30307</cdr:x>
      <cdr:y>0.62331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F04E370E-2040-45CE-B845-79194404F7F6}"/>
            </a:ext>
          </a:extLst>
        </cdr:cNvPr>
        <cdr:cNvSpPr txBox="1"/>
      </cdr:nvSpPr>
      <cdr:spPr>
        <a:xfrm xmlns:a="http://schemas.openxmlformats.org/drawingml/2006/main">
          <a:off x="1003300" y="2448859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0.33001</cdr:x>
      <cdr:y>0.63072</cdr:y>
    </cdr:from>
    <cdr:to>
      <cdr:x>0.42975</cdr:x>
      <cdr:y>0.67941</cdr:y>
    </cdr:to>
    <cdr:sp macro="" textlink="">
      <cdr:nvSpPr>
        <cdr:cNvPr id="6" name="TextBox 3">
          <a:extLst xmlns:a="http://schemas.openxmlformats.org/drawingml/2006/main">
            <a:ext uri="{FF2B5EF4-FFF2-40B4-BE49-F238E27FC236}">
              <a16:creationId xmlns:a16="http://schemas.microsoft.com/office/drawing/2014/main" id="{80EA68E8-0C7F-489C-B0D5-38E5D163855F}"/>
            </a:ext>
          </a:extLst>
        </cdr:cNvPr>
        <cdr:cNvSpPr txBox="1"/>
      </cdr:nvSpPr>
      <cdr:spPr>
        <a:xfrm xmlns:a="http://schemas.openxmlformats.org/drawingml/2006/main">
          <a:off x="1628405" y="2687931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0.32596</cdr:x>
      <cdr:y>0.45104</cdr:y>
    </cdr:from>
    <cdr:to>
      <cdr:x>0.4257</cdr:x>
      <cdr:y>0.49973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3A82AC0E-C874-42AD-9A5B-F15F99126480}"/>
            </a:ext>
          </a:extLst>
        </cdr:cNvPr>
        <cdr:cNvSpPr txBox="1"/>
      </cdr:nvSpPr>
      <cdr:spPr>
        <a:xfrm xmlns:a="http://schemas.openxmlformats.org/drawingml/2006/main">
          <a:off x="1608417" y="1922183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0.4481</cdr:x>
      <cdr:y>0.54658</cdr:y>
    </cdr:from>
    <cdr:to>
      <cdr:x>0.54784</cdr:x>
      <cdr:y>0.59527</cdr:y>
    </cdr:to>
    <cdr:sp macro="" textlink="">
      <cdr:nvSpPr>
        <cdr:cNvPr id="8" name="TextBox 3">
          <a:extLst xmlns:a="http://schemas.openxmlformats.org/drawingml/2006/main">
            <a:ext uri="{FF2B5EF4-FFF2-40B4-BE49-F238E27FC236}">
              <a16:creationId xmlns:a16="http://schemas.microsoft.com/office/drawing/2014/main" id="{57480EDB-B0FD-41BF-A9FC-B881EB9E6CE4}"/>
            </a:ext>
          </a:extLst>
        </cdr:cNvPr>
        <cdr:cNvSpPr txBox="1"/>
      </cdr:nvSpPr>
      <cdr:spPr>
        <a:xfrm xmlns:a="http://schemas.openxmlformats.org/drawingml/2006/main">
          <a:off x="2211112" y="2329342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0.44405</cdr:x>
      <cdr:y>0.34586</cdr:y>
    </cdr:from>
    <cdr:to>
      <cdr:x>0.54379</cdr:x>
      <cdr:y>0.39455</cdr:y>
    </cdr:to>
    <cdr:sp macro="" textlink="">
      <cdr:nvSpPr>
        <cdr:cNvPr id="9" name="TextBox 2">
          <a:extLst xmlns:a="http://schemas.openxmlformats.org/drawingml/2006/main">
            <a:ext uri="{FF2B5EF4-FFF2-40B4-BE49-F238E27FC236}">
              <a16:creationId xmlns:a16="http://schemas.microsoft.com/office/drawing/2014/main" id="{BB46DBC7-19CD-468A-9EEB-5D0A7A9258FA}"/>
            </a:ext>
          </a:extLst>
        </cdr:cNvPr>
        <cdr:cNvSpPr txBox="1"/>
      </cdr:nvSpPr>
      <cdr:spPr>
        <a:xfrm xmlns:a="http://schemas.openxmlformats.org/drawingml/2006/main">
          <a:off x="2191124" y="1473947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0.56441</cdr:x>
      <cdr:y>0.25646</cdr:y>
    </cdr:from>
    <cdr:to>
      <cdr:x>0.66415</cdr:x>
      <cdr:y>0.30514</cdr:y>
    </cdr:to>
    <cdr:sp macro="" textlink="">
      <cdr:nvSpPr>
        <cdr:cNvPr id="10" name="TextBox 2">
          <a:extLst xmlns:a="http://schemas.openxmlformats.org/drawingml/2006/main">
            <a:ext uri="{FF2B5EF4-FFF2-40B4-BE49-F238E27FC236}">
              <a16:creationId xmlns:a16="http://schemas.microsoft.com/office/drawing/2014/main" id="{DD9BFFEC-A9B5-4ABB-8F82-BA3B1D5E0B7A}"/>
            </a:ext>
          </a:extLst>
        </cdr:cNvPr>
        <cdr:cNvSpPr txBox="1"/>
      </cdr:nvSpPr>
      <cdr:spPr>
        <a:xfrm xmlns:a="http://schemas.openxmlformats.org/drawingml/2006/main">
          <a:off x="2785035" y="1092947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0.5803</cdr:x>
      <cdr:y>0.49311</cdr:y>
    </cdr:from>
    <cdr:to>
      <cdr:x>0.68005</cdr:x>
      <cdr:y>0.5418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6E14435E-EC96-4A5C-9B82-0980577DA980}"/>
            </a:ext>
          </a:extLst>
        </cdr:cNvPr>
        <cdr:cNvSpPr txBox="1"/>
      </cdr:nvSpPr>
      <cdr:spPr>
        <a:xfrm xmlns:a="http://schemas.openxmlformats.org/drawingml/2006/main">
          <a:off x="2863477" y="2101476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0.6825</cdr:x>
      <cdr:y>0.1618</cdr:y>
    </cdr:from>
    <cdr:to>
      <cdr:x>0.78224</cdr:x>
      <cdr:y>0.21048</cdr:y>
    </cdr:to>
    <cdr:sp macro="" textlink="">
      <cdr:nvSpPr>
        <cdr:cNvPr id="12" name="TextBox 2">
          <a:extLst xmlns:a="http://schemas.openxmlformats.org/drawingml/2006/main">
            <a:ext uri="{FF2B5EF4-FFF2-40B4-BE49-F238E27FC236}">
              <a16:creationId xmlns:a16="http://schemas.microsoft.com/office/drawing/2014/main" id="{E39EEE40-6060-45E4-A571-ADF5A104D2D3}"/>
            </a:ext>
          </a:extLst>
        </cdr:cNvPr>
        <cdr:cNvSpPr txBox="1"/>
      </cdr:nvSpPr>
      <cdr:spPr>
        <a:xfrm xmlns:a="http://schemas.openxmlformats.org/drawingml/2006/main">
          <a:off x="3367741" y="689535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0.6825</cdr:x>
      <cdr:y>0.44052</cdr:y>
    </cdr:from>
    <cdr:to>
      <cdr:x>0.78224</cdr:x>
      <cdr:y>0.48921</cdr:y>
    </cdr:to>
    <cdr:sp macro="" textlink="">
      <cdr:nvSpPr>
        <cdr:cNvPr id="13" name="TextBox 2">
          <a:extLst xmlns:a="http://schemas.openxmlformats.org/drawingml/2006/main">
            <a:ext uri="{FF2B5EF4-FFF2-40B4-BE49-F238E27FC236}">
              <a16:creationId xmlns:a16="http://schemas.microsoft.com/office/drawing/2014/main" id="{4938BCC0-8926-4EBF-B8F5-BF9CB0808AC9}"/>
            </a:ext>
          </a:extLst>
        </cdr:cNvPr>
        <cdr:cNvSpPr txBox="1"/>
      </cdr:nvSpPr>
      <cdr:spPr>
        <a:xfrm xmlns:a="http://schemas.openxmlformats.org/drawingml/2006/main">
          <a:off x="3367741" y="1877359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0.82557</cdr:x>
      <cdr:y>0.09869</cdr:y>
    </cdr:from>
    <cdr:to>
      <cdr:x>0.92531</cdr:x>
      <cdr:y>0.14738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757ED1D1-ACD9-46E6-A294-7166633A9876}"/>
            </a:ext>
          </a:extLst>
        </cdr:cNvPr>
        <cdr:cNvSpPr txBox="1"/>
      </cdr:nvSpPr>
      <cdr:spPr>
        <a:xfrm xmlns:a="http://schemas.openxmlformats.org/drawingml/2006/main">
          <a:off x="4073711" y="420593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0.2074</cdr:x>
      <cdr:y>0.78323</cdr:y>
    </cdr:from>
    <cdr:to>
      <cdr:x>0.30691</cdr:x>
      <cdr:y>0.83181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B3BDCE-BD30-46FF-92B6-2959F9E88460}"/>
            </a:ext>
          </a:extLst>
        </cdr:cNvPr>
        <cdr:cNvSpPr txBox="1"/>
      </cdr:nvSpPr>
      <cdr:spPr>
        <a:xfrm xmlns:a="http://schemas.openxmlformats.org/drawingml/2006/main">
          <a:off x="1025712" y="3345330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0.21872</cdr:x>
      <cdr:y>0.71764</cdr:y>
    </cdr:from>
    <cdr:to>
      <cdr:x>0.31824</cdr:x>
      <cdr:y>0.76622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CEA3654E-28D9-4A07-85C8-92CB841E6570}"/>
            </a:ext>
          </a:extLst>
        </cdr:cNvPr>
        <cdr:cNvSpPr txBox="1"/>
      </cdr:nvSpPr>
      <cdr:spPr>
        <a:xfrm xmlns:a="http://schemas.openxmlformats.org/drawingml/2006/main">
          <a:off x="1081741" y="3065182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0.20966</cdr:x>
      <cdr:y>0.63106</cdr:y>
    </cdr:from>
    <cdr:to>
      <cdr:x>0.30918</cdr:x>
      <cdr:y>0.67964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4645FCB6-FCA1-4662-8A0B-F5E7ACFD3127}"/>
            </a:ext>
          </a:extLst>
        </cdr:cNvPr>
        <cdr:cNvSpPr txBox="1"/>
      </cdr:nvSpPr>
      <cdr:spPr>
        <a:xfrm xmlns:a="http://schemas.openxmlformats.org/drawingml/2006/main">
          <a:off x="1036918" y="2695389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0.33655</cdr:x>
      <cdr:y>0.71502</cdr:y>
    </cdr:from>
    <cdr:to>
      <cdr:x>0.43606</cdr:x>
      <cdr:y>0.76359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6FFB9A0A-7FF5-46E1-8497-DDB848D1DFC8}"/>
            </a:ext>
          </a:extLst>
        </cdr:cNvPr>
        <cdr:cNvSpPr txBox="1"/>
      </cdr:nvSpPr>
      <cdr:spPr>
        <a:xfrm xmlns:a="http://schemas.openxmlformats.org/drawingml/2006/main">
          <a:off x="1664447" y="3053976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0.33428</cdr:x>
      <cdr:y>0.62844</cdr:y>
    </cdr:from>
    <cdr:to>
      <cdr:x>0.4338</cdr:x>
      <cdr:y>0.67701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9E5607E9-EAF9-4EBA-863A-85A97C89504D}"/>
            </a:ext>
          </a:extLst>
        </cdr:cNvPr>
        <cdr:cNvSpPr txBox="1"/>
      </cdr:nvSpPr>
      <cdr:spPr>
        <a:xfrm xmlns:a="http://schemas.openxmlformats.org/drawingml/2006/main">
          <a:off x="1653241" y="2684181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0.33201</cdr:x>
      <cdr:y>0.49988</cdr:y>
    </cdr:from>
    <cdr:to>
      <cdr:x>0.43153</cdr:x>
      <cdr:y>0.54846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1A0AC1D4-10EF-4ECA-9FEB-BF7D7C85D60D}"/>
            </a:ext>
          </a:extLst>
        </cdr:cNvPr>
        <cdr:cNvSpPr txBox="1"/>
      </cdr:nvSpPr>
      <cdr:spPr>
        <a:xfrm xmlns:a="http://schemas.openxmlformats.org/drawingml/2006/main">
          <a:off x="1642036" y="2135094"/>
          <a:ext cx="492187" cy="2074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0.46343</cdr:x>
      <cdr:y>0.64449</cdr:y>
    </cdr:from>
    <cdr:to>
      <cdr:x>0.56295</cdr:x>
      <cdr:y>0.69307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7F7C6062-7833-43E2-A8A7-E5216B6A301A}"/>
            </a:ext>
          </a:extLst>
        </cdr:cNvPr>
        <cdr:cNvSpPr txBox="1"/>
      </cdr:nvSpPr>
      <cdr:spPr>
        <a:xfrm xmlns:a="http://schemas.openxmlformats.org/drawingml/2006/main">
          <a:off x="2291976" y="2750696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0.4589</cdr:x>
      <cdr:y>0.50803</cdr:y>
    </cdr:from>
    <cdr:to>
      <cdr:x>0.55842</cdr:x>
      <cdr:y>0.5566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761B56A7-738C-4C6A-9A76-75A264EE510F}"/>
            </a:ext>
          </a:extLst>
        </cdr:cNvPr>
        <cdr:cNvSpPr txBox="1"/>
      </cdr:nvSpPr>
      <cdr:spPr>
        <a:xfrm xmlns:a="http://schemas.openxmlformats.org/drawingml/2006/main">
          <a:off x="2269564" y="2168264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0.4453</cdr:x>
      <cdr:y>0.36109</cdr:y>
    </cdr:from>
    <cdr:to>
      <cdr:x>0.54482</cdr:x>
      <cdr:y>0.40967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24A68738-82E7-4D6E-B997-CC557C0B0179}"/>
            </a:ext>
          </a:extLst>
        </cdr:cNvPr>
        <cdr:cNvSpPr txBox="1"/>
      </cdr:nvSpPr>
      <cdr:spPr>
        <a:xfrm xmlns:a="http://schemas.openxmlformats.org/drawingml/2006/main">
          <a:off x="2202330" y="1541144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0.59031</cdr:x>
      <cdr:y>0.60003</cdr:y>
    </cdr:from>
    <cdr:to>
      <cdr:x>0.68983</cdr:x>
      <cdr:y>0.6486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4C8C8449-6048-4D41-942F-2D2B4D439AAA}"/>
            </a:ext>
          </a:extLst>
        </cdr:cNvPr>
        <cdr:cNvSpPr txBox="1"/>
      </cdr:nvSpPr>
      <cdr:spPr>
        <a:xfrm xmlns:a="http://schemas.openxmlformats.org/drawingml/2006/main">
          <a:off x="2919506" y="2560919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0.56766</cdr:x>
      <cdr:y>0.43199</cdr:y>
    </cdr:from>
    <cdr:to>
      <cdr:x>0.66718</cdr:x>
      <cdr:y>0.48057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4C8C8449-6048-4D41-942F-2D2B4D439AAA}"/>
            </a:ext>
          </a:extLst>
        </cdr:cNvPr>
        <cdr:cNvSpPr txBox="1"/>
      </cdr:nvSpPr>
      <cdr:spPr>
        <a:xfrm xmlns:a="http://schemas.openxmlformats.org/drawingml/2006/main">
          <a:off x="2807448" y="1843741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0.56312</cdr:x>
      <cdr:y>0.28759</cdr:y>
    </cdr:from>
    <cdr:to>
      <cdr:x>0.66264</cdr:x>
      <cdr:y>0.33616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4C8C8449-6048-4D41-942F-2D2B4D439AAA}"/>
            </a:ext>
          </a:extLst>
        </cdr:cNvPr>
        <cdr:cNvSpPr txBox="1"/>
      </cdr:nvSpPr>
      <cdr:spPr>
        <a:xfrm xmlns:a="http://schemas.openxmlformats.org/drawingml/2006/main">
          <a:off x="2785035" y="1227418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0.71493</cdr:x>
      <cdr:y>0.57114</cdr:y>
    </cdr:from>
    <cdr:to>
      <cdr:x>0.81445</cdr:x>
      <cdr:y>0.61972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C89FE71A-85EA-48D4-B140-3220AA421685}"/>
            </a:ext>
          </a:extLst>
        </cdr:cNvPr>
        <cdr:cNvSpPr txBox="1"/>
      </cdr:nvSpPr>
      <cdr:spPr>
        <a:xfrm xmlns:a="http://schemas.openxmlformats.org/drawingml/2006/main">
          <a:off x="3535830" y="2437652"/>
          <a:ext cx="492187" cy="2073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0.70632</cdr:x>
      <cdr:y>0.35873</cdr:y>
    </cdr:from>
    <cdr:to>
      <cdr:x>0.80584</cdr:x>
      <cdr:y>0.40731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AC021BF1-EDCC-4E75-A05C-F4B973CEAFFF}"/>
            </a:ext>
          </a:extLst>
        </cdr:cNvPr>
        <cdr:cNvSpPr txBox="1"/>
      </cdr:nvSpPr>
      <cdr:spPr>
        <a:xfrm xmlns:a="http://schemas.openxmlformats.org/drawingml/2006/main">
          <a:off x="3490973" y="1529938"/>
          <a:ext cx="491871" cy="207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0.68819</cdr:x>
      <cdr:y>0.21948</cdr:y>
    </cdr:from>
    <cdr:to>
      <cdr:x>0.7877</cdr:x>
      <cdr:y>0.26806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B74FAA60-5F27-4D93-90AF-71048C7F57F3}"/>
            </a:ext>
          </a:extLst>
        </cdr:cNvPr>
        <cdr:cNvSpPr txBox="1"/>
      </cdr:nvSpPr>
      <cdr:spPr>
        <a:xfrm xmlns:a="http://schemas.openxmlformats.org/drawingml/2006/main">
          <a:off x="3401359" y="936065"/>
          <a:ext cx="491871" cy="207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0.81288</cdr:x>
      <cdr:y>0.55055</cdr:y>
    </cdr:from>
    <cdr:to>
      <cdr:x>0.91084</cdr:x>
      <cdr:y>0.60944</cdr:y>
    </cdr:to>
    <cdr:sp macro="" textlink="">
      <cdr:nvSpPr>
        <cdr:cNvPr id="20" name="TextBox 6">
          <a:extLst xmlns:a="http://schemas.openxmlformats.org/drawingml/2006/main">
            <a:ext uri="{FF2B5EF4-FFF2-40B4-BE49-F238E27FC236}">
              <a16:creationId xmlns:a16="http://schemas.microsoft.com/office/drawing/2014/main" id="{D630DC1C-D579-429F-AAD4-56AA96CFFE1E}"/>
            </a:ext>
          </a:extLst>
        </cdr:cNvPr>
        <cdr:cNvSpPr txBox="1"/>
      </cdr:nvSpPr>
      <cdr:spPr>
        <a:xfrm xmlns:a="http://schemas.openxmlformats.org/drawingml/2006/main">
          <a:off x="4017682" y="2348006"/>
          <a:ext cx="484167" cy="2511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200">
              <a:latin typeface="Arial" panose="020B0604020202020204" pitchFamily="34" charset="0"/>
              <a:cs typeface="Arial" panose="020B0604020202020204" pitchFamily="34" charset="0"/>
            </a:rPr>
            <a:t>n.s.</a:t>
          </a:r>
          <a:endParaRPr lang="ko-KR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0.82422</cdr:x>
      <cdr:y>0.31407</cdr:y>
    </cdr:from>
    <cdr:to>
      <cdr:x>0.92374</cdr:x>
      <cdr:y>0.36265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C67B47F-BEE1-4E9B-BB79-BD6555B58F49}"/>
            </a:ext>
          </a:extLst>
        </cdr:cNvPr>
        <cdr:cNvSpPr txBox="1"/>
      </cdr:nvSpPr>
      <cdr:spPr>
        <a:xfrm xmlns:a="http://schemas.openxmlformats.org/drawingml/2006/main">
          <a:off x="4073712" y="1339477"/>
          <a:ext cx="491871" cy="207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0.80608</cdr:x>
      <cdr:y>0.14854</cdr:y>
    </cdr:from>
    <cdr:to>
      <cdr:x>0.9056</cdr:x>
      <cdr:y>0.19712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B576560A-0FC1-45FF-8946-9E072DCB1481}"/>
            </a:ext>
          </a:extLst>
        </cdr:cNvPr>
        <cdr:cNvSpPr txBox="1"/>
      </cdr:nvSpPr>
      <cdr:spPr>
        <a:xfrm xmlns:a="http://schemas.openxmlformats.org/drawingml/2006/main">
          <a:off x="3984065" y="633506"/>
          <a:ext cx="491871" cy="2071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1600">
              <a:latin typeface="Arial" panose="020B0604020202020204" pitchFamily="34" charset="0"/>
              <a:cs typeface="Arial" panose="020B0604020202020204" pitchFamily="34" charset="0"/>
            </a:rPr>
            <a:t>***</a:t>
          </a:r>
          <a:endParaRPr lang="ko-KR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CA1B-5D0D-4E35-8381-175E2C0815DF}">
  <dimension ref="A1:AM75"/>
  <sheetViews>
    <sheetView tabSelected="1" topLeftCell="C46" zoomScaleNormal="100" workbookViewId="0">
      <selection activeCell="T49" sqref="T49"/>
    </sheetView>
  </sheetViews>
  <sheetFormatPr defaultRowHeight="17" x14ac:dyDescent="0.45"/>
  <cols>
    <col min="1" max="6" width="8.6640625" style="3"/>
    <col min="7" max="7" width="12.5" style="3" bestFit="1" customWidth="1"/>
    <col min="8" max="16" width="8.6640625" style="3"/>
    <col min="17" max="17" width="8.6640625" style="3" customWidth="1"/>
    <col min="18" max="35" width="8.6640625" style="3"/>
  </cols>
  <sheetData>
    <row r="1" spans="1:39" x14ac:dyDescent="0.45">
      <c r="B1" s="8" t="s">
        <v>1</v>
      </c>
      <c r="C1" s="8"/>
      <c r="D1" s="8"/>
      <c r="E1" s="8"/>
      <c r="F1" s="8"/>
      <c r="G1" s="8" t="s">
        <v>6</v>
      </c>
      <c r="H1" s="8"/>
      <c r="I1" s="8"/>
      <c r="J1" s="8"/>
      <c r="K1" s="8"/>
      <c r="L1" s="8" t="s">
        <v>7</v>
      </c>
      <c r="M1" s="8"/>
      <c r="N1" s="8"/>
      <c r="O1" s="8"/>
      <c r="P1" s="8"/>
      <c r="Q1" s="9" t="s">
        <v>8</v>
      </c>
      <c r="R1" s="9"/>
      <c r="S1" s="9"/>
      <c r="T1" s="9"/>
      <c r="U1" s="9"/>
      <c r="V1" s="9" t="s">
        <v>11</v>
      </c>
      <c r="W1" s="9"/>
      <c r="X1" s="9"/>
      <c r="Y1" s="9"/>
      <c r="Z1" s="9"/>
      <c r="AA1" s="9" t="s">
        <v>12</v>
      </c>
      <c r="AB1" s="9"/>
      <c r="AC1" s="9"/>
      <c r="AD1" s="9"/>
      <c r="AE1" s="9"/>
      <c r="AF1" s="9" t="s">
        <v>13</v>
      </c>
      <c r="AG1" s="9"/>
      <c r="AH1" s="9"/>
      <c r="AI1" s="9"/>
      <c r="AJ1" s="9"/>
    </row>
    <row r="2" spans="1:39" s="1" customFormat="1" x14ac:dyDescent="0.45">
      <c r="A2" s="3"/>
      <c r="B2" s="5" t="s">
        <v>0</v>
      </c>
      <c r="C2" s="3" t="s">
        <v>2</v>
      </c>
      <c r="D2" s="3" t="s">
        <v>3</v>
      </c>
      <c r="E2" s="3" t="s">
        <v>4</v>
      </c>
      <c r="F2" s="3" t="s">
        <v>5</v>
      </c>
      <c r="G2" s="5" t="s">
        <v>0</v>
      </c>
      <c r="H2" s="3" t="s">
        <v>2</v>
      </c>
      <c r="I2" s="3" t="s">
        <v>3</v>
      </c>
      <c r="J2" s="3" t="s">
        <v>4</v>
      </c>
      <c r="K2" s="3" t="s">
        <v>5</v>
      </c>
      <c r="L2" s="5" t="s">
        <v>0</v>
      </c>
      <c r="M2" s="3" t="s">
        <v>2</v>
      </c>
      <c r="N2" s="3" t="s">
        <v>3</v>
      </c>
      <c r="O2" s="3" t="s">
        <v>4</v>
      </c>
      <c r="P2" s="3" t="s">
        <v>5</v>
      </c>
      <c r="Q2" s="5" t="s">
        <v>0</v>
      </c>
      <c r="R2" s="1" t="s">
        <v>2</v>
      </c>
      <c r="S2" s="1" t="s">
        <v>3</v>
      </c>
      <c r="T2" s="1" t="s">
        <v>4</v>
      </c>
      <c r="U2" s="1" t="s">
        <v>5</v>
      </c>
      <c r="V2" s="2" t="s">
        <v>0</v>
      </c>
      <c r="W2" s="1" t="s">
        <v>2</v>
      </c>
      <c r="X2" s="1" t="s">
        <v>3</v>
      </c>
      <c r="Y2" s="1" t="s">
        <v>4</v>
      </c>
      <c r="Z2" s="1" t="s">
        <v>5</v>
      </c>
      <c r="AA2" s="2" t="s">
        <v>0</v>
      </c>
      <c r="AB2" s="1" t="s">
        <v>2</v>
      </c>
      <c r="AC2" s="1" t="s">
        <v>3</v>
      </c>
      <c r="AD2" s="1" t="s">
        <v>4</v>
      </c>
      <c r="AE2" s="1" t="s">
        <v>5</v>
      </c>
      <c r="AF2" s="2" t="s">
        <v>0</v>
      </c>
      <c r="AG2" s="1" t="s">
        <v>2</v>
      </c>
      <c r="AH2" s="1" t="s">
        <v>3</v>
      </c>
      <c r="AI2" s="1" t="s">
        <v>4</v>
      </c>
      <c r="AJ2" s="1" t="s">
        <v>5</v>
      </c>
    </row>
    <row r="3" spans="1:39" x14ac:dyDescent="0.45">
      <c r="A3" s="3">
        <v>1</v>
      </c>
      <c r="B3" s="5">
        <v>0.997</v>
      </c>
      <c r="C3" s="3">
        <v>1.8640000000000001</v>
      </c>
      <c r="D3" s="3">
        <v>1.0309999999999999</v>
      </c>
      <c r="E3" s="3">
        <v>1.0409999999999999</v>
      </c>
      <c r="F3" s="3">
        <v>1.806</v>
      </c>
      <c r="G3" s="5">
        <v>1.647</v>
      </c>
      <c r="H3" s="3">
        <v>5.6829999999999998</v>
      </c>
      <c r="I3" s="3">
        <v>1.6379999999999999</v>
      </c>
      <c r="J3" s="3">
        <v>4.5279999999999996</v>
      </c>
      <c r="K3" s="3">
        <v>4.5730000000000004</v>
      </c>
      <c r="L3" s="5">
        <v>2.44</v>
      </c>
      <c r="M3" s="3">
        <v>5.9240000000000004</v>
      </c>
      <c r="N3" s="3">
        <v>1.4430000000000001</v>
      </c>
      <c r="O3" s="3">
        <v>5.67</v>
      </c>
      <c r="P3" s="3">
        <v>5.8479999999999999</v>
      </c>
      <c r="Q3" s="5"/>
      <c r="R3">
        <v>5.4870000000000001</v>
      </c>
      <c r="S3">
        <v>2.2349999999999999</v>
      </c>
      <c r="T3">
        <v>6.42</v>
      </c>
      <c r="U3">
        <v>7.8129999999999997</v>
      </c>
      <c r="V3" s="5"/>
      <c r="W3">
        <v>7.2850000000000001</v>
      </c>
      <c r="X3">
        <v>1.9850000000000001</v>
      </c>
      <c r="Y3">
        <v>9.5589999999999993</v>
      </c>
      <c r="Z3">
        <v>7.774</v>
      </c>
      <c r="AA3" s="5">
        <v>3.8839999999999999</v>
      </c>
      <c r="AB3">
        <v>8.4559999999999995</v>
      </c>
      <c r="AC3">
        <v>1.6559999999999999</v>
      </c>
      <c r="AD3">
        <v>11.016</v>
      </c>
      <c r="AE3">
        <v>10.582000000000001</v>
      </c>
      <c r="AF3" s="5">
        <v>4.4390000000000001</v>
      </c>
      <c r="AG3">
        <v>12.004</v>
      </c>
      <c r="AH3">
        <v>1.784</v>
      </c>
      <c r="AI3">
        <v>11.185</v>
      </c>
      <c r="AJ3">
        <v>12.173</v>
      </c>
    </row>
    <row r="4" spans="1:39" x14ac:dyDescent="0.45">
      <c r="A4" s="3">
        <v>2</v>
      </c>
      <c r="B4" s="5">
        <v>1.0840000000000001</v>
      </c>
      <c r="C4" s="3">
        <v>2.4889999999999999</v>
      </c>
      <c r="D4" s="3">
        <v>1.4079999999999999</v>
      </c>
      <c r="E4" s="3">
        <v>1.071</v>
      </c>
      <c r="F4" s="3">
        <v>1.361</v>
      </c>
      <c r="G4" s="5">
        <v>2.1360000000000001</v>
      </c>
      <c r="H4" s="3">
        <v>5.5960000000000001</v>
      </c>
      <c r="I4" s="3">
        <v>1.383</v>
      </c>
      <c r="J4" s="3">
        <v>3.5379999999999998</v>
      </c>
      <c r="K4" s="3">
        <v>4.4059999999999997</v>
      </c>
      <c r="L4" s="5">
        <v>1.173</v>
      </c>
      <c r="M4" s="3">
        <v>5.1849999999999996</v>
      </c>
      <c r="N4" s="3">
        <v>1.345</v>
      </c>
      <c r="O4" s="3">
        <v>5.3460000000000001</v>
      </c>
      <c r="P4" s="3">
        <v>6.2080000000000002</v>
      </c>
      <c r="Q4" s="5">
        <v>2.3769999999999998</v>
      </c>
      <c r="R4">
        <v>9.375</v>
      </c>
      <c r="S4">
        <v>1.954</v>
      </c>
      <c r="T4">
        <v>6.2690000000000001</v>
      </c>
      <c r="U4">
        <v>8.2449999999999992</v>
      </c>
      <c r="V4" s="5">
        <v>2.3530000000000002</v>
      </c>
      <c r="W4">
        <v>8.4220000000000006</v>
      </c>
      <c r="X4">
        <v>1.726</v>
      </c>
      <c r="Y4">
        <v>7.5270000000000001</v>
      </c>
      <c r="Z4">
        <v>9.9450000000000003</v>
      </c>
      <c r="AA4" s="5">
        <v>3.7189999999999999</v>
      </c>
      <c r="AB4">
        <v>11.131</v>
      </c>
      <c r="AC4">
        <v>4.2930000000000001</v>
      </c>
      <c r="AD4">
        <v>9.2129999999999992</v>
      </c>
      <c r="AE4">
        <v>10.923</v>
      </c>
      <c r="AF4" s="5">
        <v>3.4729999999999999</v>
      </c>
      <c r="AG4">
        <v>9.9760000000000009</v>
      </c>
      <c r="AH4">
        <v>2.0059999999999998</v>
      </c>
      <c r="AI4">
        <v>11.095000000000001</v>
      </c>
      <c r="AJ4">
        <v>11.21</v>
      </c>
    </row>
    <row r="5" spans="1:39" x14ac:dyDescent="0.45">
      <c r="A5" s="3">
        <v>3</v>
      </c>
      <c r="B5" s="5">
        <v>1.02</v>
      </c>
      <c r="C5" s="3">
        <v>2.121</v>
      </c>
      <c r="D5" s="3">
        <v>0.78700000000000003</v>
      </c>
      <c r="E5" s="3">
        <v>0.99099999999999999</v>
      </c>
      <c r="F5" s="3">
        <v>1.7430000000000001</v>
      </c>
      <c r="G5" s="5">
        <v>1.5129999999999999</v>
      </c>
      <c r="H5" s="3">
        <v>4.8029999999999999</v>
      </c>
      <c r="I5" s="3">
        <v>1.3839999999999999</v>
      </c>
      <c r="J5" s="3">
        <v>3.7869999999999999</v>
      </c>
      <c r="K5" s="3">
        <v>5.0190000000000001</v>
      </c>
      <c r="L5" s="5">
        <v>1.252</v>
      </c>
      <c r="M5" s="3">
        <v>4.5659999999999998</v>
      </c>
      <c r="N5" s="3">
        <v>1.7649999999999999</v>
      </c>
      <c r="O5" s="3">
        <v>6.8810000000000002</v>
      </c>
      <c r="P5" s="3">
        <v>6.5090000000000003</v>
      </c>
      <c r="Q5" s="5">
        <v>1.63</v>
      </c>
      <c r="R5">
        <v>6.6710000000000003</v>
      </c>
      <c r="S5">
        <v>1.9159999999999999</v>
      </c>
      <c r="T5"/>
      <c r="U5">
        <v>8.5210000000000008</v>
      </c>
      <c r="V5" s="5">
        <v>3.41</v>
      </c>
      <c r="W5">
        <v>9.8559999999999999</v>
      </c>
      <c r="X5">
        <v>3.0590000000000002</v>
      </c>
      <c r="Y5">
        <v>7.9059999999999997</v>
      </c>
      <c r="Z5">
        <v>9.4540000000000006</v>
      </c>
      <c r="AA5" s="5">
        <v>3.577</v>
      </c>
      <c r="AB5">
        <v>10.874000000000001</v>
      </c>
      <c r="AC5">
        <v>2.3079999999999998</v>
      </c>
      <c r="AD5">
        <v>9.2080000000000002</v>
      </c>
      <c r="AE5">
        <v>9.5540000000000003</v>
      </c>
      <c r="AF5" s="5">
        <v>5.0119999999999996</v>
      </c>
      <c r="AG5">
        <v>11.445</v>
      </c>
      <c r="AH5">
        <v>5.19</v>
      </c>
      <c r="AI5">
        <v>8.4329999999999998</v>
      </c>
      <c r="AJ5">
        <v>12.555999999999999</v>
      </c>
    </row>
    <row r="6" spans="1:39" x14ac:dyDescent="0.45">
      <c r="A6" s="3">
        <v>4</v>
      </c>
      <c r="B6" s="5">
        <v>0.99399999999999999</v>
      </c>
      <c r="C6" s="3">
        <v>3.125</v>
      </c>
      <c r="D6" s="3">
        <v>0.99</v>
      </c>
      <c r="E6" s="3">
        <v>1.274</v>
      </c>
      <c r="F6" s="3">
        <v>1.69</v>
      </c>
      <c r="G6" s="5">
        <v>0.91600000000000004</v>
      </c>
      <c r="H6" s="3">
        <v>4.4610000000000003</v>
      </c>
      <c r="I6" s="3">
        <v>1.669</v>
      </c>
      <c r="J6" s="3">
        <v>3.2109999999999999</v>
      </c>
      <c r="K6" s="3">
        <v>4.7519999999999998</v>
      </c>
      <c r="L6" s="5">
        <v>1.421</v>
      </c>
      <c r="M6" s="3">
        <v>4.375</v>
      </c>
      <c r="N6" s="3">
        <v>1.907</v>
      </c>
      <c r="O6" s="3">
        <v>5.9619999999999997</v>
      </c>
      <c r="P6" s="3">
        <v>6.7880000000000003</v>
      </c>
      <c r="Q6" s="5">
        <v>2.0059999999999998</v>
      </c>
      <c r="R6">
        <v>6.73</v>
      </c>
      <c r="S6">
        <v>1.641</v>
      </c>
      <c r="T6">
        <v>6.1459999999999999</v>
      </c>
      <c r="U6">
        <v>7.7549999999999999</v>
      </c>
      <c r="V6" s="5">
        <v>2.5830000000000002</v>
      </c>
      <c r="W6">
        <v>6.8739999999999997</v>
      </c>
      <c r="X6">
        <v>1.891</v>
      </c>
      <c r="Y6">
        <v>8.9619999999999997</v>
      </c>
      <c r="Z6">
        <v>9.3849999999999998</v>
      </c>
      <c r="AA6" s="5">
        <v>3.2010000000000001</v>
      </c>
      <c r="AB6">
        <v>8.1750000000000007</v>
      </c>
      <c r="AC6">
        <v>1.8580000000000001</v>
      </c>
      <c r="AD6">
        <v>9.5419999999999998</v>
      </c>
      <c r="AE6">
        <v>9.7569999999999997</v>
      </c>
      <c r="AF6" s="5">
        <v>3.8809999999999998</v>
      </c>
      <c r="AG6">
        <v>10.002000000000001</v>
      </c>
      <c r="AH6">
        <v>2.9260000000000002</v>
      </c>
      <c r="AI6">
        <v>11.005000000000001</v>
      </c>
      <c r="AJ6">
        <v>11.657</v>
      </c>
    </row>
    <row r="7" spans="1:39" x14ac:dyDescent="0.45">
      <c r="A7" s="3">
        <v>5</v>
      </c>
      <c r="B7" s="5">
        <v>1.0920000000000001</v>
      </c>
      <c r="C7" s="3">
        <v>2.274</v>
      </c>
      <c r="D7" s="3">
        <v>1.077</v>
      </c>
      <c r="E7" s="3">
        <v>0.9</v>
      </c>
      <c r="F7" s="3">
        <v>2.0499999999999998</v>
      </c>
      <c r="G7" s="5">
        <v>1.8380000000000001</v>
      </c>
      <c r="H7" s="3">
        <v>7.4169999999999998</v>
      </c>
      <c r="I7" s="3">
        <v>1.736</v>
      </c>
      <c r="J7" s="3">
        <v>2.5710000000000002</v>
      </c>
      <c r="K7" s="3">
        <v>4.4269999999999996</v>
      </c>
      <c r="L7" s="5">
        <v>1.778</v>
      </c>
      <c r="M7" s="3">
        <v>6.2009999999999996</v>
      </c>
      <c r="N7" s="3">
        <v>1.927</v>
      </c>
      <c r="O7" s="3">
        <v>5.867</v>
      </c>
      <c r="P7" s="3">
        <v>5.8140000000000001</v>
      </c>
      <c r="Q7" s="5">
        <v>2.3660000000000001</v>
      </c>
      <c r="R7">
        <v>8.1850000000000005</v>
      </c>
      <c r="S7">
        <v>1.571</v>
      </c>
      <c r="T7">
        <v>6.524</v>
      </c>
      <c r="U7">
        <v>7.6589999999999998</v>
      </c>
      <c r="V7" s="5">
        <v>2.63</v>
      </c>
      <c r="W7">
        <v>8.548</v>
      </c>
      <c r="X7">
        <v>2.2090000000000001</v>
      </c>
      <c r="Y7"/>
      <c r="Z7">
        <v>8.548</v>
      </c>
      <c r="AA7" s="5">
        <v>4.1959999999999997</v>
      </c>
      <c r="AB7">
        <v>7.76</v>
      </c>
      <c r="AC7">
        <v>2.4430000000000001</v>
      </c>
      <c r="AD7">
        <v>6.9589999999999996</v>
      </c>
      <c r="AE7">
        <v>9.4019999999999992</v>
      </c>
      <c r="AF7" s="5">
        <v>3.9910000000000001</v>
      </c>
      <c r="AG7">
        <v>9.3780000000000001</v>
      </c>
      <c r="AH7">
        <v>1.7150000000000001</v>
      </c>
      <c r="AI7">
        <v>8.8160000000000007</v>
      </c>
      <c r="AJ7">
        <v>12.234</v>
      </c>
    </row>
    <row r="8" spans="1:39" x14ac:dyDescent="0.45">
      <c r="A8" s="3">
        <v>6</v>
      </c>
      <c r="B8" s="5">
        <v>1.0489999999999999</v>
      </c>
      <c r="C8" s="3">
        <v>2.3450000000000002</v>
      </c>
      <c r="D8" s="3">
        <v>0.88800000000000001</v>
      </c>
      <c r="E8" s="3">
        <v>0.81899999999999995</v>
      </c>
      <c r="F8" s="3">
        <v>1.9510000000000001</v>
      </c>
      <c r="G8" s="5">
        <v>2.1440000000000001</v>
      </c>
      <c r="H8" s="3">
        <v>5.3179999999999996</v>
      </c>
      <c r="I8" s="3">
        <v>1.2909999999999999</v>
      </c>
      <c r="J8" s="3">
        <v>4.766</v>
      </c>
      <c r="K8" s="3">
        <v>4.8239999999999998</v>
      </c>
      <c r="L8" s="5">
        <v>1.631</v>
      </c>
      <c r="M8" s="3">
        <v>6.5860000000000003</v>
      </c>
      <c r="N8" s="3">
        <v>1.583</v>
      </c>
      <c r="O8" s="3">
        <v>5.0990000000000002</v>
      </c>
      <c r="P8" s="3">
        <v>6.0119999999999996</v>
      </c>
      <c r="Q8" s="5">
        <v>1.6579999999999999</v>
      </c>
      <c r="R8">
        <v>7.3639999999999999</v>
      </c>
      <c r="S8">
        <v>1.6579999999999999</v>
      </c>
      <c r="T8">
        <v>7.9560000000000004</v>
      </c>
      <c r="U8">
        <v>8.6389999999999993</v>
      </c>
      <c r="V8" s="5">
        <v>2.0779999999999998</v>
      </c>
      <c r="W8">
        <v>7.8609999999999998</v>
      </c>
      <c r="X8">
        <v>1.718</v>
      </c>
      <c r="Y8">
        <v>7.3259999999999996</v>
      </c>
      <c r="Z8">
        <v>9.4280000000000008</v>
      </c>
      <c r="AA8" s="5">
        <v>3.363</v>
      </c>
      <c r="AB8">
        <v>10.231</v>
      </c>
      <c r="AC8">
        <v>2.6960000000000002</v>
      </c>
      <c r="AD8">
        <v>8.6920000000000002</v>
      </c>
      <c r="AE8">
        <v>11.180999999999999</v>
      </c>
      <c r="AF8" s="5">
        <v>4.6319999999999997</v>
      </c>
      <c r="AG8">
        <v>13.497999999999999</v>
      </c>
      <c r="AH8">
        <v>3.0739999999999998</v>
      </c>
      <c r="AI8">
        <v>11.654999999999999</v>
      </c>
      <c r="AJ8">
        <v>10.805</v>
      </c>
    </row>
    <row r="9" spans="1:39" x14ac:dyDescent="0.45">
      <c r="A9" s="3">
        <v>7</v>
      </c>
      <c r="B9" s="5">
        <v>0.88700000000000001</v>
      </c>
      <c r="C9" s="3">
        <v>2.4470000000000001</v>
      </c>
      <c r="D9" s="3">
        <v>0.89100000000000001</v>
      </c>
      <c r="F9" s="3">
        <v>1.845</v>
      </c>
      <c r="G9" s="5">
        <v>2.4279999999999999</v>
      </c>
      <c r="H9" s="3">
        <v>4.6980000000000004</v>
      </c>
      <c r="I9" s="3">
        <v>1.651</v>
      </c>
      <c r="J9" s="3">
        <v>4.1669999999999998</v>
      </c>
      <c r="K9" s="3">
        <v>5.0389999999999997</v>
      </c>
      <c r="L9" s="5">
        <v>1.823</v>
      </c>
      <c r="M9" s="3">
        <v>4.8179999999999996</v>
      </c>
      <c r="N9" s="3">
        <v>1.516</v>
      </c>
      <c r="O9" s="3">
        <v>6.2080000000000002</v>
      </c>
      <c r="P9" s="3">
        <v>7.8659999999999997</v>
      </c>
      <c r="Q9" s="5">
        <v>2.194</v>
      </c>
      <c r="R9">
        <v>6.4980000000000002</v>
      </c>
      <c r="S9">
        <v>1.637</v>
      </c>
      <c r="T9">
        <v>7.11</v>
      </c>
      <c r="U9">
        <v>8.6359999999999992</v>
      </c>
      <c r="V9" s="5">
        <v>2.3639999999999999</v>
      </c>
      <c r="W9">
        <v>7.0389999999999997</v>
      </c>
      <c r="X9">
        <v>1.498</v>
      </c>
      <c r="Y9">
        <v>7.8090000000000002</v>
      </c>
      <c r="Z9">
        <v>8.9390000000000001</v>
      </c>
      <c r="AA9" s="5">
        <v>4.7229999999999999</v>
      </c>
      <c r="AB9">
        <v>12.007999999999999</v>
      </c>
      <c r="AC9">
        <v>2.907</v>
      </c>
      <c r="AD9">
        <v>10.414999999999999</v>
      </c>
      <c r="AE9">
        <v>11.318</v>
      </c>
      <c r="AF9" s="5">
        <v>4.1459999999999999</v>
      </c>
      <c r="AG9">
        <v>10.089</v>
      </c>
      <c r="AH9">
        <v>2.0630000000000002</v>
      </c>
      <c r="AI9">
        <v>10.426</v>
      </c>
      <c r="AJ9">
        <v>11.866</v>
      </c>
    </row>
    <row r="10" spans="1:39" x14ac:dyDescent="0.45">
      <c r="A10" s="3">
        <v>8</v>
      </c>
      <c r="B10" s="5">
        <v>0.83499999999999996</v>
      </c>
      <c r="C10" s="3">
        <v>2.7810000000000001</v>
      </c>
      <c r="D10" s="3">
        <v>0.96899999999999997</v>
      </c>
      <c r="F10" s="3">
        <v>1.651</v>
      </c>
      <c r="G10" s="5">
        <v>1.4790000000000001</v>
      </c>
      <c r="H10" s="3">
        <v>4.7670000000000003</v>
      </c>
      <c r="I10" s="3">
        <v>1.1870000000000001</v>
      </c>
      <c r="J10" s="3">
        <v>5.3979999999999997</v>
      </c>
      <c r="K10" s="3">
        <v>4.8369999999999997</v>
      </c>
      <c r="L10" s="5">
        <v>2.2789999999999999</v>
      </c>
      <c r="M10" s="3">
        <v>5.827</v>
      </c>
      <c r="N10" s="3">
        <v>1.2629999999999999</v>
      </c>
      <c r="O10" s="3">
        <v>6.2160000000000002</v>
      </c>
      <c r="P10" s="3">
        <v>7.157</v>
      </c>
      <c r="Q10" s="5"/>
      <c r="R10">
        <v>7.8620000000000001</v>
      </c>
      <c r="S10">
        <v>1.831</v>
      </c>
      <c r="T10">
        <v>6.5279999999999996</v>
      </c>
      <c r="U10">
        <v>8.2880000000000003</v>
      </c>
      <c r="V10" s="5">
        <v>2.5169999999999999</v>
      </c>
      <c r="W10">
        <v>7.9640000000000004</v>
      </c>
      <c r="X10">
        <v>1.88</v>
      </c>
      <c r="Y10">
        <v>8.9030000000000005</v>
      </c>
      <c r="Z10">
        <v>9.9610000000000003</v>
      </c>
      <c r="AA10" s="5">
        <v>4.952</v>
      </c>
      <c r="AB10">
        <v>9.657</v>
      </c>
      <c r="AC10">
        <v>4.1340000000000003</v>
      </c>
      <c r="AD10">
        <v>7.4420000000000002</v>
      </c>
      <c r="AE10">
        <v>11.154</v>
      </c>
      <c r="AF10" s="5">
        <v>4.492</v>
      </c>
      <c r="AG10">
        <v>13.851000000000001</v>
      </c>
      <c r="AH10">
        <v>2.0659999999999998</v>
      </c>
      <c r="AI10"/>
      <c r="AJ10">
        <v>12.465</v>
      </c>
    </row>
    <row r="11" spans="1:39" x14ac:dyDescent="0.45">
      <c r="A11" s="3">
        <v>9</v>
      </c>
      <c r="B11" s="5">
        <v>1.135</v>
      </c>
      <c r="C11" s="3">
        <v>2.6850000000000001</v>
      </c>
      <c r="D11" s="3">
        <v>0.74399999999999999</v>
      </c>
      <c r="F11" s="3">
        <v>1.5209999999999999</v>
      </c>
      <c r="G11" s="5">
        <v>1.629</v>
      </c>
      <c r="H11" s="3">
        <v>4.577</v>
      </c>
      <c r="I11" s="3">
        <v>1.1679999999999999</v>
      </c>
      <c r="J11" s="3">
        <v>3.3319999999999999</v>
      </c>
      <c r="K11" s="3">
        <v>4.5330000000000004</v>
      </c>
      <c r="L11" s="5">
        <v>2.004</v>
      </c>
      <c r="M11" s="3">
        <v>6.069</v>
      </c>
      <c r="N11" s="3">
        <v>1.292</v>
      </c>
      <c r="O11" s="3">
        <v>5.2359999999999998</v>
      </c>
      <c r="P11" s="3">
        <v>7.141</v>
      </c>
      <c r="Q11" s="5">
        <v>2.1230000000000002</v>
      </c>
      <c r="R11">
        <v>8.4659999999999993</v>
      </c>
      <c r="S11">
        <v>1.7250000000000001</v>
      </c>
      <c r="T11">
        <v>6.5979999999999999</v>
      </c>
      <c r="U11">
        <v>7.5250000000000004</v>
      </c>
      <c r="V11" s="5">
        <v>2.3580000000000001</v>
      </c>
      <c r="W11">
        <v>7.5359999999999996</v>
      </c>
      <c r="X11">
        <v>1.7130000000000001</v>
      </c>
      <c r="Y11">
        <v>9.94</v>
      </c>
      <c r="Z11">
        <v>9.6850000000000005</v>
      </c>
      <c r="AA11" s="5">
        <v>4.2690000000000001</v>
      </c>
      <c r="AB11">
        <v>10.288</v>
      </c>
      <c r="AC11">
        <v>4.4210000000000003</v>
      </c>
      <c r="AD11">
        <v>8.7490000000000006</v>
      </c>
      <c r="AE11">
        <v>11.584</v>
      </c>
      <c r="AF11" s="5">
        <v>3.5030000000000001</v>
      </c>
      <c r="AG11">
        <v>10.561999999999999</v>
      </c>
      <c r="AH11">
        <v>3.7530000000000001</v>
      </c>
      <c r="AI11">
        <v>9.8940000000000001</v>
      </c>
      <c r="AJ11">
        <v>13.026</v>
      </c>
    </row>
    <row r="12" spans="1:39" x14ac:dyDescent="0.45">
      <c r="A12" s="3">
        <v>10</v>
      </c>
      <c r="B12" s="5">
        <v>1.2050000000000001</v>
      </c>
      <c r="C12" s="3">
        <v>2.6739999999999999</v>
      </c>
      <c r="D12" s="3">
        <v>0.84799999999999998</v>
      </c>
      <c r="F12" s="3">
        <v>1.4670000000000001</v>
      </c>
      <c r="G12" s="5">
        <v>2.2080000000000002</v>
      </c>
      <c r="H12" s="3">
        <v>4.2279999999999998</v>
      </c>
      <c r="I12" s="3">
        <v>1.401</v>
      </c>
      <c r="J12" s="3">
        <v>3.4790000000000001</v>
      </c>
      <c r="K12" s="3">
        <v>4.4359999999999999</v>
      </c>
      <c r="L12" s="5">
        <v>1.357</v>
      </c>
      <c r="M12" s="3">
        <v>5.4980000000000002</v>
      </c>
      <c r="N12" s="3">
        <v>2.7639999999999998</v>
      </c>
      <c r="O12" s="3">
        <v>4.5679999999999996</v>
      </c>
      <c r="P12" s="3">
        <v>7.6369999999999996</v>
      </c>
      <c r="Q12" s="5">
        <v>2.2679999999999998</v>
      </c>
      <c r="R12">
        <v>7.577</v>
      </c>
      <c r="S12">
        <v>1.6890000000000001</v>
      </c>
      <c r="T12">
        <v>7.367</v>
      </c>
      <c r="U12">
        <v>8.24</v>
      </c>
      <c r="V12" s="5">
        <v>2.9630000000000001</v>
      </c>
      <c r="W12">
        <v>7.4409999999999998</v>
      </c>
      <c r="X12">
        <v>1.8580000000000001</v>
      </c>
      <c r="Y12">
        <v>7.4240000000000004</v>
      </c>
      <c r="Z12">
        <v>9.69</v>
      </c>
      <c r="AA12" s="5">
        <v>6.3769999999999998</v>
      </c>
      <c r="AB12">
        <v>10.032999999999999</v>
      </c>
      <c r="AC12">
        <v>4.133</v>
      </c>
      <c r="AD12">
        <v>11.026</v>
      </c>
      <c r="AE12">
        <v>11.680999999999999</v>
      </c>
      <c r="AF12" s="5">
        <v>4.7720000000000002</v>
      </c>
      <c r="AG12">
        <v>10.877000000000001</v>
      </c>
      <c r="AH12">
        <v>2.9489999999999998</v>
      </c>
      <c r="AI12">
        <v>11.337</v>
      </c>
      <c r="AJ12">
        <v>11.363</v>
      </c>
    </row>
    <row r="13" spans="1:39" x14ac:dyDescent="0.45">
      <c r="A13" s="3">
        <v>11</v>
      </c>
      <c r="B13" s="5">
        <v>1.1060000000000001</v>
      </c>
      <c r="C13" s="3">
        <v>2.4990000000000001</v>
      </c>
      <c r="D13" s="3">
        <v>0.86099999999999999</v>
      </c>
      <c r="F13" s="3">
        <v>1.5760000000000001</v>
      </c>
      <c r="G13" s="5">
        <v>1.534</v>
      </c>
      <c r="H13" s="3">
        <v>4.1470000000000002</v>
      </c>
      <c r="I13" s="3">
        <v>1.46</v>
      </c>
      <c r="J13" s="3">
        <v>4.3579999999999997</v>
      </c>
      <c r="K13" s="3">
        <v>4.9939999999999998</v>
      </c>
      <c r="L13" s="5">
        <v>1.087</v>
      </c>
      <c r="M13" s="3">
        <v>7.1959999999999997</v>
      </c>
      <c r="N13" s="3">
        <v>1.4530000000000001</v>
      </c>
      <c r="O13" s="3">
        <v>4.585</v>
      </c>
      <c r="P13" s="3">
        <v>6.5119999999999996</v>
      </c>
      <c r="Q13" s="5">
        <v>2.355</v>
      </c>
      <c r="R13">
        <v>5.3410000000000002</v>
      </c>
      <c r="S13">
        <v>1.72</v>
      </c>
      <c r="T13">
        <v>7.1859999999999999</v>
      </c>
      <c r="U13">
        <v>8.1319999999999997</v>
      </c>
      <c r="V13" s="5">
        <v>3.1030000000000002</v>
      </c>
      <c r="W13">
        <v>7.2270000000000003</v>
      </c>
      <c r="X13">
        <v>1.669</v>
      </c>
      <c r="Y13">
        <v>6.4210000000000003</v>
      </c>
      <c r="Z13">
        <v>10.255000000000001</v>
      </c>
      <c r="AA13" s="5">
        <v>4.7530000000000001</v>
      </c>
      <c r="AB13">
        <v>7.7309999999999999</v>
      </c>
      <c r="AC13">
        <v>2.4289999999999998</v>
      </c>
      <c r="AD13">
        <v>9.0259999999999998</v>
      </c>
      <c r="AE13">
        <v>9.2469999999999999</v>
      </c>
      <c r="AF13" s="5">
        <v>4.9109999999999996</v>
      </c>
      <c r="AG13">
        <v>11.068</v>
      </c>
      <c r="AH13">
        <v>2.7370000000000001</v>
      </c>
      <c r="AI13">
        <v>8.8810000000000002</v>
      </c>
      <c r="AJ13">
        <v>11.827</v>
      </c>
    </row>
    <row r="14" spans="1:39" x14ac:dyDescent="0.45">
      <c r="A14" s="3">
        <v>12</v>
      </c>
      <c r="B14" s="5">
        <v>1.3360000000000001</v>
      </c>
      <c r="C14" s="3">
        <v>2.621</v>
      </c>
      <c r="D14" s="3">
        <v>0.86299999999999999</v>
      </c>
      <c r="F14" s="3">
        <v>1.476</v>
      </c>
      <c r="G14" s="5">
        <v>1.623</v>
      </c>
      <c r="H14" s="3">
        <v>5.2729999999999997</v>
      </c>
      <c r="I14" s="3">
        <v>1.2929999999999999</v>
      </c>
      <c r="J14" s="3">
        <v>4.6390000000000002</v>
      </c>
      <c r="K14" s="3">
        <v>4.6779999999999999</v>
      </c>
      <c r="L14" s="5">
        <v>1.6080000000000001</v>
      </c>
      <c r="M14" s="3">
        <v>4.95</v>
      </c>
      <c r="N14" s="3">
        <v>1.421</v>
      </c>
      <c r="O14" s="3">
        <v>4.0640000000000001</v>
      </c>
      <c r="P14" s="3">
        <v>6.3170000000000002</v>
      </c>
      <c r="Q14" s="5">
        <v>2.0409999999999999</v>
      </c>
      <c r="R14">
        <v>6.2009999999999996</v>
      </c>
      <c r="S14">
        <v>1.7210000000000001</v>
      </c>
      <c r="T14"/>
      <c r="U14">
        <v>7.4960000000000004</v>
      </c>
      <c r="V14" s="5">
        <v>2.8540000000000001</v>
      </c>
      <c r="W14">
        <v>8.1959999999999997</v>
      </c>
      <c r="X14">
        <v>1.6120000000000001</v>
      </c>
      <c r="Y14">
        <v>8.0969999999999995</v>
      </c>
      <c r="Z14">
        <v>9.1259999999999994</v>
      </c>
      <c r="AA14" s="5">
        <v>4.4640000000000004</v>
      </c>
      <c r="AB14">
        <v>9.9489999999999998</v>
      </c>
      <c r="AC14">
        <v>1.7689999999999999</v>
      </c>
      <c r="AD14">
        <v>8.3390000000000004</v>
      </c>
      <c r="AE14">
        <v>11.787000000000001</v>
      </c>
      <c r="AF14" s="5">
        <v>3.6019999999999999</v>
      </c>
      <c r="AG14">
        <v>8.8620000000000001</v>
      </c>
      <c r="AH14">
        <v>2.3650000000000002</v>
      </c>
      <c r="AI14">
        <v>9.9789999999999992</v>
      </c>
      <c r="AJ14">
        <v>11.095000000000001</v>
      </c>
    </row>
    <row r="15" spans="1:39" x14ac:dyDescent="0.45">
      <c r="A15" s="3">
        <v>13</v>
      </c>
      <c r="B15" s="5">
        <v>1.2310000000000001</v>
      </c>
      <c r="C15" s="3">
        <v>2.9860000000000002</v>
      </c>
      <c r="D15" s="3">
        <v>0.86599999999999999</v>
      </c>
      <c r="F15" s="3">
        <v>1.54</v>
      </c>
      <c r="G15" s="5">
        <v>1.496</v>
      </c>
      <c r="H15" s="3">
        <v>4.5679999999999996</v>
      </c>
      <c r="I15" s="3">
        <v>1.4750000000000001</v>
      </c>
      <c r="J15" s="3">
        <v>4.7949999999999999</v>
      </c>
      <c r="K15" s="3">
        <v>4.7119999999999997</v>
      </c>
      <c r="L15" s="5">
        <v>1.4059999999999999</v>
      </c>
      <c r="M15" s="3">
        <v>5.27</v>
      </c>
      <c r="N15" s="3">
        <v>1.5089999999999999</v>
      </c>
      <c r="O15" s="3">
        <v>5.1340000000000003</v>
      </c>
      <c r="P15" s="3">
        <v>6.2830000000000004</v>
      </c>
      <c r="Q15" s="5">
        <v>2.7949999999999999</v>
      </c>
      <c r="R15">
        <v>7.1520000000000001</v>
      </c>
      <c r="S15">
        <v>1.643</v>
      </c>
      <c r="T15">
        <v>7.2830000000000004</v>
      </c>
      <c r="U15">
        <v>6.984</v>
      </c>
      <c r="V15" s="5">
        <v>2.3959999999999999</v>
      </c>
      <c r="W15"/>
      <c r="X15">
        <v>1.81</v>
      </c>
      <c r="Y15">
        <v>6.3339999999999996</v>
      </c>
      <c r="Z15">
        <v>8.3879999999999999</v>
      </c>
      <c r="AA15" s="5">
        <v>4.8</v>
      </c>
      <c r="AB15">
        <v>8.109</v>
      </c>
      <c r="AC15">
        <v>1.9650000000000001</v>
      </c>
      <c r="AD15">
        <v>8.423</v>
      </c>
      <c r="AE15">
        <v>10.943</v>
      </c>
      <c r="AF15" s="5">
        <v>3.677</v>
      </c>
      <c r="AG15">
        <v>8.8219999999999992</v>
      </c>
      <c r="AH15">
        <v>2.4809999999999999</v>
      </c>
      <c r="AI15">
        <v>11.949</v>
      </c>
      <c r="AJ15">
        <v>11.226000000000001</v>
      </c>
      <c r="AM15" t="s">
        <v>14</v>
      </c>
    </row>
    <row r="16" spans="1:39" x14ac:dyDescent="0.45">
      <c r="A16" s="3">
        <v>14</v>
      </c>
      <c r="B16" s="5">
        <v>0.96899999999999997</v>
      </c>
      <c r="C16" s="3">
        <v>2.524</v>
      </c>
      <c r="D16" s="3">
        <v>1.0820000000000001</v>
      </c>
      <c r="F16" s="3">
        <v>2.0190000000000001</v>
      </c>
      <c r="G16" s="5">
        <v>1.84</v>
      </c>
      <c r="H16" s="3">
        <v>4.867</v>
      </c>
      <c r="I16" s="3">
        <v>1.5149999999999999</v>
      </c>
      <c r="J16" s="3">
        <v>4.1230000000000002</v>
      </c>
      <c r="K16" s="3">
        <v>4.6680000000000001</v>
      </c>
      <c r="L16" s="5">
        <v>2.2010000000000001</v>
      </c>
      <c r="M16" s="3">
        <v>5.3079999999999998</v>
      </c>
      <c r="N16" s="3">
        <v>1.5289999999999999</v>
      </c>
      <c r="O16" s="3">
        <v>6.82</v>
      </c>
      <c r="P16" s="3">
        <v>6.0309999999999997</v>
      </c>
      <c r="Q16" s="5">
        <v>1.76</v>
      </c>
      <c r="R16">
        <v>5.4980000000000002</v>
      </c>
      <c r="S16">
        <v>1.802</v>
      </c>
      <c r="T16">
        <v>8.9359999999999999</v>
      </c>
      <c r="U16">
        <v>6.89</v>
      </c>
      <c r="V16" s="5">
        <v>3.2040000000000002</v>
      </c>
      <c r="W16">
        <v>8.9979999999999993</v>
      </c>
      <c r="X16">
        <v>1.5620000000000001</v>
      </c>
      <c r="Y16"/>
      <c r="Z16">
        <v>9.5380000000000003</v>
      </c>
      <c r="AA16" s="5">
        <v>5.375</v>
      </c>
      <c r="AB16">
        <v>8.4329999999999998</v>
      </c>
      <c r="AC16">
        <v>2.0249999999999999</v>
      </c>
      <c r="AD16">
        <v>7.4210000000000003</v>
      </c>
      <c r="AE16">
        <v>9.4280000000000008</v>
      </c>
      <c r="AF16" s="5">
        <v>3.968</v>
      </c>
      <c r="AG16">
        <v>10.73</v>
      </c>
      <c r="AH16">
        <v>3.7360000000000002</v>
      </c>
      <c r="AI16">
        <v>8.1199999999999992</v>
      </c>
      <c r="AJ16">
        <v>12.53</v>
      </c>
    </row>
    <row r="17" spans="1:36" x14ac:dyDescent="0.45">
      <c r="A17" s="3">
        <v>15</v>
      </c>
      <c r="B17" s="5">
        <v>0.90100000000000002</v>
      </c>
      <c r="C17" s="3">
        <v>2.8180000000000001</v>
      </c>
      <c r="D17" s="3">
        <v>0.871</v>
      </c>
      <c r="F17" s="3">
        <v>1.5149999999999999</v>
      </c>
      <c r="G17" s="5">
        <v>1.1479999999999999</v>
      </c>
      <c r="H17" s="3">
        <v>4.2160000000000002</v>
      </c>
      <c r="I17" s="3">
        <v>1.218</v>
      </c>
      <c r="J17" s="3">
        <v>4.1719999999999997</v>
      </c>
      <c r="K17" s="3">
        <v>5.258</v>
      </c>
      <c r="L17" s="5">
        <v>1.4570000000000001</v>
      </c>
      <c r="M17" s="3">
        <v>5.19</v>
      </c>
      <c r="N17" s="3">
        <v>1.496</v>
      </c>
      <c r="O17" s="3">
        <v>5.1909999999999998</v>
      </c>
      <c r="P17" s="3">
        <v>7.702</v>
      </c>
      <c r="Q17" s="5">
        <v>2.8530000000000002</v>
      </c>
      <c r="R17">
        <v>6.4740000000000002</v>
      </c>
      <c r="S17">
        <v>1.875</v>
      </c>
      <c r="T17">
        <v>6.569</v>
      </c>
      <c r="U17">
        <v>7.78</v>
      </c>
      <c r="V17" s="5">
        <v>2.5590000000000002</v>
      </c>
      <c r="W17">
        <v>7.14</v>
      </c>
      <c r="X17">
        <v>2.0470000000000002</v>
      </c>
      <c r="Y17"/>
      <c r="Z17">
        <v>10.147</v>
      </c>
      <c r="AA17" s="5">
        <v>3.8889999999999998</v>
      </c>
      <c r="AB17">
        <v>9.5950000000000006</v>
      </c>
      <c r="AC17">
        <v>2.7919999999999998</v>
      </c>
      <c r="AD17">
        <v>8.5679999999999996</v>
      </c>
      <c r="AE17">
        <v>10.903</v>
      </c>
      <c r="AF17" s="5">
        <v>3.875</v>
      </c>
      <c r="AG17">
        <v>10.021000000000001</v>
      </c>
      <c r="AH17">
        <v>1.913</v>
      </c>
      <c r="AI17">
        <v>8.7750000000000004</v>
      </c>
      <c r="AJ17">
        <v>10.26</v>
      </c>
    </row>
    <row r="18" spans="1:36" x14ac:dyDescent="0.45">
      <c r="A18" s="3">
        <v>16</v>
      </c>
      <c r="B18" s="5">
        <v>0.68</v>
      </c>
      <c r="C18" s="3">
        <v>2.3069999999999999</v>
      </c>
      <c r="D18" s="3">
        <v>0.92200000000000004</v>
      </c>
      <c r="F18" s="3">
        <v>1.458</v>
      </c>
      <c r="G18" s="5">
        <v>1.7350000000000001</v>
      </c>
      <c r="H18" s="3">
        <v>4.3230000000000004</v>
      </c>
      <c r="I18" s="3">
        <v>1.5389999999999999</v>
      </c>
      <c r="K18" s="3">
        <v>5.2709999999999999</v>
      </c>
      <c r="L18" s="5">
        <v>1.5229999999999999</v>
      </c>
      <c r="M18" s="3">
        <v>5.6760000000000002</v>
      </c>
      <c r="N18" s="3">
        <v>1.5369999999999999</v>
      </c>
      <c r="O18" s="3">
        <v>4.2930000000000001</v>
      </c>
      <c r="P18" s="3">
        <v>6.968</v>
      </c>
      <c r="Q18" s="5">
        <v>2.2919999999999998</v>
      </c>
      <c r="R18">
        <v>6.2560000000000002</v>
      </c>
      <c r="S18">
        <v>1.825</v>
      </c>
      <c r="T18">
        <v>8.8989999999999991</v>
      </c>
      <c r="U18">
        <v>8.5399999999999991</v>
      </c>
      <c r="V18" s="5">
        <v>2.99</v>
      </c>
      <c r="W18"/>
      <c r="X18">
        <v>1.901</v>
      </c>
      <c r="Y18"/>
      <c r="Z18">
        <v>9.1069999999999993</v>
      </c>
      <c r="AA18" s="5">
        <v>5.9870000000000001</v>
      </c>
      <c r="AB18">
        <v>10.081</v>
      </c>
      <c r="AC18">
        <v>1.8080000000000001</v>
      </c>
      <c r="AD18">
        <v>9.9949999999999992</v>
      </c>
      <c r="AE18">
        <v>11.576000000000001</v>
      </c>
      <c r="AF18" s="5">
        <v>4.9039999999999999</v>
      </c>
      <c r="AG18">
        <v>9.9909999999999997</v>
      </c>
      <c r="AH18">
        <v>2.3879999999999999</v>
      </c>
      <c r="AI18">
        <v>8.4250000000000007</v>
      </c>
      <c r="AJ18">
        <v>10.738</v>
      </c>
    </row>
    <row r="19" spans="1:36" x14ac:dyDescent="0.45">
      <c r="A19" s="3">
        <v>17</v>
      </c>
      <c r="B19" s="5">
        <v>0.67100000000000004</v>
      </c>
      <c r="C19" s="3">
        <v>2.6989999999999998</v>
      </c>
      <c r="D19" s="3">
        <v>1.1930000000000001</v>
      </c>
      <c r="F19" s="3">
        <v>1.534</v>
      </c>
      <c r="G19" s="5">
        <v>1.302</v>
      </c>
      <c r="H19" s="3">
        <v>5.0620000000000003</v>
      </c>
      <c r="I19" s="3">
        <v>1.724</v>
      </c>
      <c r="K19" s="3">
        <v>4.9000000000000004</v>
      </c>
      <c r="L19" s="5">
        <v>1.6619999999999999</v>
      </c>
      <c r="M19" s="3">
        <v>5.7</v>
      </c>
      <c r="N19" s="3">
        <v>1.1459999999999999</v>
      </c>
      <c r="P19" s="3">
        <v>6.4039999999999999</v>
      </c>
      <c r="Q19" s="5">
        <v>2.1909999999999998</v>
      </c>
      <c r="R19">
        <v>8.0500000000000007</v>
      </c>
      <c r="S19">
        <v>1.64</v>
      </c>
      <c r="T19"/>
      <c r="U19">
        <v>7.9210000000000003</v>
      </c>
      <c r="V19" s="5">
        <v>2.7389999999999999</v>
      </c>
      <c r="W19">
        <v>7.8070000000000004</v>
      </c>
      <c r="X19">
        <v>1.4970000000000001</v>
      </c>
      <c r="Y19"/>
      <c r="Z19">
        <v>10.433999999999999</v>
      </c>
      <c r="AA19" s="5">
        <v>4.5220000000000002</v>
      </c>
      <c r="AB19">
        <v>10.566000000000001</v>
      </c>
      <c r="AC19">
        <v>2.2069999999999999</v>
      </c>
      <c r="AD19"/>
      <c r="AE19">
        <v>10.337</v>
      </c>
      <c r="AF19" s="5">
        <v>5.165</v>
      </c>
      <c r="AG19">
        <v>12.661</v>
      </c>
      <c r="AH19">
        <v>5.3259999999999996</v>
      </c>
      <c r="AI19"/>
      <c r="AJ19">
        <v>12.192</v>
      </c>
    </row>
    <row r="20" spans="1:36" x14ac:dyDescent="0.45">
      <c r="A20" s="3">
        <v>18</v>
      </c>
      <c r="B20" s="5">
        <v>1.3069999999999999</v>
      </c>
      <c r="C20" s="3">
        <v>2.5859999999999999</v>
      </c>
      <c r="D20" s="3">
        <v>0.95599999999999996</v>
      </c>
      <c r="F20" s="3">
        <v>1.3280000000000001</v>
      </c>
      <c r="G20" s="5">
        <v>1.571</v>
      </c>
      <c r="H20" s="3">
        <v>4.8739999999999997</v>
      </c>
      <c r="I20" s="3">
        <v>1.393</v>
      </c>
      <c r="K20" s="3">
        <v>4.6050000000000004</v>
      </c>
      <c r="L20" s="5">
        <v>1.8640000000000001</v>
      </c>
      <c r="M20" s="3">
        <v>5.3620000000000001</v>
      </c>
      <c r="N20" s="3">
        <v>1.482</v>
      </c>
      <c r="P20" s="3">
        <v>6.4489999999999998</v>
      </c>
      <c r="Q20" s="5">
        <v>2.367</v>
      </c>
      <c r="R20">
        <v>6.4550000000000001</v>
      </c>
      <c r="S20">
        <v>1.37</v>
      </c>
      <c r="T20"/>
      <c r="U20">
        <v>8.5950000000000006</v>
      </c>
      <c r="V20" s="5"/>
      <c r="W20">
        <v>10.561</v>
      </c>
      <c r="X20">
        <v>1.792</v>
      </c>
      <c r="Y20"/>
      <c r="Z20">
        <v>8.9700000000000006</v>
      </c>
      <c r="AA20" s="5">
        <v>4.72</v>
      </c>
      <c r="AB20">
        <v>8.2059999999999995</v>
      </c>
      <c r="AC20">
        <v>2.4889999999999999</v>
      </c>
      <c r="AD20"/>
      <c r="AE20">
        <v>9.6349999999999998</v>
      </c>
      <c r="AF20" s="5">
        <v>6.1989999999999998</v>
      </c>
      <c r="AG20">
        <v>11.013</v>
      </c>
      <c r="AH20">
        <v>4.6580000000000004</v>
      </c>
      <c r="AI20"/>
      <c r="AJ20">
        <v>10.661</v>
      </c>
    </row>
    <row r="21" spans="1:36" x14ac:dyDescent="0.45">
      <c r="A21" s="3">
        <v>19</v>
      </c>
      <c r="B21" s="5">
        <v>0.96699999999999997</v>
      </c>
      <c r="C21" s="3">
        <v>2.867</v>
      </c>
      <c r="D21" s="3">
        <v>1.3260000000000001</v>
      </c>
      <c r="F21" s="3">
        <v>1.383</v>
      </c>
      <c r="G21" s="5">
        <v>1.6890000000000001</v>
      </c>
      <c r="H21" s="3">
        <v>3.9470000000000001</v>
      </c>
      <c r="I21" s="3">
        <v>1.335</v>
      </c>
      <c r="K21" s="3">
        <v>4.4530000000000003</v>
      </c>
      <c r="L21" s="5">
        <v>1.3480000000000001</v>
      </c>
      <c r="M21" s="3">
        <v>5.0170000000000003</v>
      </c>
      <c r="N21" s="3">
        <v>1.38</v>
      </c>
      <c r="P21" s="3">
        <v>6.6550000000000002</v>
      </c>
      <c r="Q21" s="5">
        <v>1.99</v>
      </c>
      <c r="R21">
        <v>8.5459999999999994</v>
      </c>
      <c r="S21">
        <v>1.708</v>
      </c>
      <c r="T21"/>
      <c r="U21">
        <v>7.9720000000000004</v>
      </c>
      <c r="V21" s="5">
        <v>2.786</v>
      </c>
      <c r="W21">
        <v>7.819</v>
      </c>
      <c r="X21">
        <v>1.5349999999999999</v>
      </c>
      <c r="Y21"/>
      <c r="Z21">
        <v>9.2720000000000002</v>
      </c>
      <c r="AA21" s="5">
        <v>6.5970000000000004</v>
      </c>
      <c r="AB21">
        <v>11.099</v>
      </c>
      <c r="AC21">
        <v>2.1030000000000002</v>
      </c>
      <c r="AD21"/>
      <c r="AE21">
        <v>11.116</v>
      </c>
      <c r="AF21" s="5">
        <v>5.1070000000000002</v>
      </c>
      <c r="AG21">
        <v>10.797000000000001</v>
      </c>
      <c r="AH21">
        <v>2.6030000000000002</v>
      </c>
      <c r="AI21"/>
      <c r="AJ21">
        <v>11.577999999999999</v>
      </c>
    </row>
    <row r="22" spans="1:36" x14ac:dyDescent="0.45">
      <c r="A22" s="3">
        <v>20</v>
      </c>
      <c r="B22" s="5">
        <v>0.879</v>
      </c>
      <c r="C22" s="3">
        <v>2.5590000000000002</v>
      </c>
      <c r="D22" s="3">
        <v>0.81799999999999995</v>
      </c>
      <c r="F22" s="3">
        <v>2.06</v>
      </c>
      <c r="G22" s="5">
        <v>1.82</v>
      </c>
      <c r="H22" s="3">
        <v>5.718</v>
      </c>
      <c r="I22" s="3">
        <v>1.226</v>
      </c>
      <c r="K22" s="3">
        <v>5.1349999999999998</v>
      </c>
      <c r="L22" s="5">
        <v>1.597</v>
      </c>
      <c r="M22" s="3">
        <v>5.0549999999999997</v>
      </c>
      <c r="N22" s="3">
        <v>1.9</v>
      </c>
      <c r="P22" s="3">
        <v>7.42</v>
      </c>
      <c r="Q22" s="5">
        <v>3.0350000000000001</v>
      </c>
      <c r="R22">
        <v>7.407</v>
      </c>
      <c r="S22">
        <v>1.641</v>
      </c>
      <c r="T22"/>
      <c r="U22">
        <v>6.774</v>
      </c>
      <c r="V22" s="5">
        <v>3.4590000000000001</v>
      </c>
      <c r="W22">
        <v>8.5909999999999993</v>
      </c>
      <c r="X22">
        <v>1.72</v>
      </c>
      <c r="Y22"/>
      <c r="Z22">
        <v>9.6189999999999998</v>
      </c>
      <c r="AA22" s="5">
        <v>4.6669999999999998</v>
      </c>
      <c r="AB22">
        <v>9.1539999999999999</v>
      </c>
      <c r="AC22">
        <v>2.4910000000000001</v>
      </c>
      <c r="AD22"/>
      <c r="AE22">
        <v>10.397</v>
      </c>
      <c r="AF22" s="5">
        <v>4.8929999999999998</v>
      </c>
      <c r="AG22">
        <v>10.781000000000001</v>
      </c>
      <c r="AH22">
        <v>2.633</v>
      </c>
      <c r="AI22"/>
      <c r="AJ22">
        <v>11.51</v>
      </c>
    </row>
    <row r="23" spans="1:36" x14ac:dyDescent="0.45">
      <c r="A23" s="3">
        <v>21</v>
      </c>
      <c r="B23" s="5">
        <v>0.95299999999999996</v>
      </c>
      <c r="C23" s="3">
        <v>2.4380000000000002</v>
      </c>
      <c r="D23" s="3">
        <v>0.90500000000000003</v>
      </c>
      <c r="F23" s="3">
        <v>1.863</v>
      </c>
      <c r="G23" s="5">
        <v>1.915</v>
      </c>
      <c r="H23" s="3">
        <v>5.01</v>
      </c>
      <c r="I23" s="3">
        <v>1.133</v>
      </c>
      <c r="K23" s="3">
        <v>4.9939999999999998</v>
      </c>
      <c r="L23" s="5">
        <v>2.2170000000000001</v>
      </c>
      <c r="M23" s="3">
        <v>5.67</v>
      </c>
      <c r="N23" s="3">
        <v>1.222</v>
      </c>
      <c r="P23" s="3">
        <v>6.5629999999999997</v>
      </c>
      <c r="Q23" s="5">
        <v>1.6559999999999999</v>
      </c>
      <c r="R23">
        <v>6.8390000000000004</v>
      </c>
      <c r="S23">
        <v>3.593</v>
      </c>
      <c r="T23"/>
      <c r="U23">
        <v>8.6379999999999999</v>
      </c>
      <c r="V23" s="5">
        <v>2.67</v>
      </c>
      <c r="W23">
        <v>7.2549999999999999</v>
      </c>
      <c r="X23">
        <v>1.6910000000000001</v>
      </c>
      <c r="Y23"/>
      <c r="Z23">
        <v>7.827</v>
      </c>
      <c r="AA23" s="5">
        <v>4.1319999999999997</v>
      </c>
      <c r="AB23">
        <v>9.1649999999999991</v>
      </c>
      <c r="AC23">
        <v>2.16</v>
      </c>
      <c r="AD23"/>
      <c r="AE23">
        <v>9.8420000000000005</v>
      </c>
      <c r="AF23" s="5">
        <v>4.9960000000000004</v>
      </c>
      <c r="AG23">
        <v>10.041</v>
      </c>
      <c r="AH23">
        <v>4.008</v>
      </c>
      <c r="AI23"/>
      <c r="AJ23">
        <v>10.891</v>
      </c>
    </row>
    <row r="24" spans="1:36" x14ac:dyDescent="0.45">
      <c r="A24" s="3">
        <v>22</v>
      </c>
      <c r="B24" s="5">
        <v>1.3620000000000001</v>
      </c>
      <c r="C24" s="3">
        <v>2.472</v>
      </c>
      <c r="D24" s="3">
        <v>0.71599999999999997</v>
      </c>
      <c r="F24" s="3">
        <v>1.3320000000000001</v>
      </c>
      <c r="G24" s="5">
        <v>1.1930000000000001</v>
      </c>
      <c r="H24" s="3">
        <v>5.2930000000000001</v>
      </c>
      <c r="I24" s="3">
        <v>1.6</v>
      </c>
      <c r="K24" s="3">
        <v>4.4809999999999999</v>
      </c>
      <c r="L24" s="5">
        <v>1.357</v>
      </c>
      <c r="M24" s="3">
        <v>5.12</v>
      </c>
      <c r="N24" s="3">
        <v>1.5169999999999999</v>
      </c>
      <c r="P24" s="3">
        <v>6.2640000000000002</v>
      </c>
      <c r="Q24" s="5">
        <v>1.7150000000000001</v>
      </c>
      <c r="R24">
        <v>9.6020000000000003</v>
      </c>
      <c r="S24">
        <v>3.4169999999999998</v>
      </c>
      <c r="T24"/>
      <c r="U24">
        <v>8.5519999999999996</v>
      </c>
      <c r="V24" s="5">
        <v>2.2240000000000002</v>
      </c>
      <c r="W24">
        <v>10.625</v>
      </c>
      <c r="X24">
        <v>1.425</v>
      </c>
      <c r="Y24"/>
      <c r="Z24">
        <v>9.452</v>
      </c>
      <c r="AA24" s="5">
        <v>3.8210000000000002</v>
      </c>
      <c r="AB24">
        <v>8.8680000000000003</v>
      </c>
      <c r="AC24">
        <v>3.1219999999999999</v>
      </c>
      <c r="AD24"/>
      <c r="AE24">
        <v>10.446999999999999</v>
      </c>
      <c r="AF24" s="5">
        <v>5.4160000000000004</v>
      </c>
      <c r="AG24">
        <v>9.4890000000000008</v>
      </c>
      <c r="AH24">
        <v>1.9410000000000001</v>
      </c>
      <c r="AI24"/>
      <c r="AJ24">
        <v>12.964</v>
      </c>
    </row>
    <row r="25" spans="1:36" x14ac:dyDescent="0.45">
      <c r="A25" s="3">
        <v>23</v>
      </c>
      <c r="B25" s="5">
        <v>1.139</v>
      </c>
      <c r="C25" s="3">
        <v>2.6110000000000002</v>
      </c>
      <c r="D25" s="3">
        <v>0.79400000000000004</v>
      </c>
      <c r="F25" s="3">
        <v>1.2529999999999999</v>
      </c>
      <c r="G25" s="5">
        <v>1.0780000000000001</v>
      </c>
      <c r="H25" s="3">
        <v>4.5350000000000001</v>
      </c>
      <c r="I25" s="3">
        <v>1.893</v>
      </c>
      <c r="K25" s="3">
        <v>4.032</v>
      </c>
      <c r="L25" s="5">
        <v>2.41</v>
      </c>
      <c r="M25" s="3">
        <v>5.8220000000000001</v>
      </c>
      <c r="N25" s="3">
        <v>1.925</v>
      </c>
      <c r="P25" s="3">
        <v>5.9329999999999998</v>
      </c>
      <c r="Q25" s="5">
        <v>1.9650000000000001</v>
      </c>
      <c r="R25">
        <v>7.0149999999999997</v>
      </c>
      <c r="S25">
        <v>1.8380000000000001</v>
      </c>
      <c r="T25"/>
      <c r="U25">
        <v>8.8049999999999997</v>
      </c>
      <c r="V25" s="5">
        <v>3.22</v>
      </c>
      <c r="W25">
        <v>8.3249999999999993</v>
      </c>
      <c r="X25">
        <v>1.325</v>
      </c>
      <c r="Y25"/>
      <c r="Z25">
        <v>9.1829999999999998</v>
      </c>
      <c r="AA25" s="5">
        <v>3.4209999999999998</v>
      </c>
      <c r="AB25">
        <v>10.144</v>
      </c>
      <c r="AC25">
        <v>2.0329999999999999</v>
      </c>
      <c r="AD25"/>
      <c r="AE25">
        <v>11.497</v>
      </c>
      <c r="AF25" s="5">
        <v>4.117</v>
      </c>
      <c r="AG25">
        <v>10.641999999999999</v>
      </c>
      <c r="AH25">
        <v>4.149</v>
      </c>
      <c r="AI25"/>
      <c r="AJ25">
        <v>12.893000000000001</v>
      </c>
    </row>
    <row r="26" spans="1:36" x14ac:dyDescent="0.45">
      <c r="A26" s="3">
        <v>24</v>
      </c>
      <c r="B26" s="5">
        <v>0.96799999999999997</v>
      </c>
      <c r="C26" s="3">
        <v>2.9380000000000002</v>
      </c>
      <c r="D26" s="3">
        <v>0.93200000000000005</v>
      </c>
      <c r="F26" s="3">
        <v>1.627</v>
      </c>
      <c r="G26" s="5">
        <v>1.853</v>
      </c>
      <c r="H26" s="3">
        <v>4.5309999999999997</v>
      </c>
      <c r="I26" s="3">
        <v>1.4059999999999999</v>
      </c>
      <c r="K26" s="3">
        <v>4.6100000000000003</v>
      </c>
      <c r="L26" s="5">
        <v>2.1640000000000001</v>
      </c>
      <c r="M26" s="3">
        <v>5.7859999999999996</v>
      </c>
      <c r="N26" s="3">
        <v>1.0569999999999999</v>
      </c>
      <c r="P26" s="3">
        <v>6.1769999999999996</v>
      </c>
      <c r="Q26" s="5">
        <v>2.0539999999999998</v>
      </c>
      <c r="R26">
        <v>8.0229999999999997</v>
      </c>
      <c r="S26">
        <v>3.077</v>
      </c>
      <c r="T26"/>
      <c r="U26">
        <v>8.3670000000000009</v>
      </c>
      <c r="V26" s="5">
        <v>2.83</v>
      </c>
      <c r="W26"/>
      <c r="X26">
        <v>1.4159999999999999</v>
      </c>
      <c r="Y26"/>
      <c r="Z26">
        <v>9.2539999999999996</v>
      </c>
      <c r="AA26" s="5">
        <v>3.8559999999999999</v>
      </c>
      <c r="AB26">
        <v>9.4949999999999992</v>
      </c>
      <c r="AC26">
        <v>1.6930000000000001</v>
      </c>
      <c r="AD26"/>
      <c r="AE26">
        <v>11.102</v>
      </c>
      <c r="AF26" s="5">
        <v>5.734</v>
      </c>
      <c r="AG26">
        <v>9.6440000000000001</v>
      </c>
      <c r="AH26">
        <v>4.6680000000000001</v>
      </c>
      <c r="AI26"/>
      <c r="AJ26">
        <v>11.137</v>
      </c>
    </row>
    <row r="27" spans="1:36" x14ac:dyDescent="0.45">
      <c r="A27" s="3">
        <v>25</v>
      </c>
      <c r="B27" s="5">
        <v>1.083</v>
      </c>
      <c r="C27" s="3">
        <v>3.3119999999999998</v>
      </c>
      <c r="D27" s="3">
        <v>0.78700000000000003</v>
      </c>
      <c r="F27" s="3">
        <v>1.504</v>
      </c>
      <c r="G27" s="5">
        <v>1.254</v>
      </c>
      <c r="H27" s="3">
        <v>4.9610000000000003</v>
      </c>
      <c r="I27" s="3">
        <v>1.4750000000000001</v>
      </c>
      <c r="K27" s="3">
        <v>4.9489999999999998</v>
      </c>
      <c r="L27" s="5">
        <v>2.2109999999999999</v>
      </c>
      <c r="M27" s="3">
        <v>5.98</v>
      </c>
      <c r="N27" s="3">
        <v>1.3260000000000001</v>
      </c>
      <c r="P27" s="3">
        <v>6.8490000000000002</v>
      </c>
      <c r="Q27" s="5">
        <v>2.4700000000000002</v>
      </c>
      <c r="R27">
        <v>8.3960000000000008</v>
      </c>
      <c r="S27">
        <v>1.4970000000000001</v>
      </c>
      <c r="T27"/>
      <c r="U27">
        <v>8.5299999999999994</v>
      </c>
      <c r="V27" s="5"/>
      <c r="W27">
        <v>7.4089999999999998</v>
      </c>
      <c r="X27">
        <v>1.5649999999999999</v>
      </c>
      <c r="Y27"/>
      <c r="Z27">
        <v>8.0389999999999997</v>
      </c>
      <c r="AA27" s="5">
        <v>5.36</v>
      </c>
      <c r="AB27">
        <v>9.5540000000000003</v>
      </c>
      <c r="AC27">
        <v>1.67</v>
      </c>
      <c r="AD27"/>
      <c r="AE27">
        <v>10.513</v>
      </c>
      <c r="AF27" s="5">
        <v>4.859</v>
      </c>
      <c r="AG27">
        <v>9.8559999999999999</v>
      </c>
      <c r="AH27">
        <v>2.6629999999999998</v>
      </c>
      <c r="AI27"/>
      <c r="AJ27">
        <v>11.246</v>
      </c>
    </row>
    <row r="28" spans="1:36" x14ac:dyDescent="0.45">
      <c r="A28" s="3">
        <v>26</v>
      </c>
      <c r="B28" s="5">
        <v>1.238</v>
      </c>
      <c r="C28" s="3">
        <v>2.1669999999999998</v>
      </c>
      <c r="F28" s="3">
        <v>1.3380000000000001</v>
      </c>
      <c r="G28" s="5">
        <v>1.3620000000000001</v>
      </c>
      <c r="H28" s="3">
        <v>5.4480000000000004</v>
      </c>
      <c r="I28" s="3">
        <v>1.772</v>
      </c>
      <c r="K28" s="3">
        <v>5.0170000000000003</v>
      </c>
      <c r="L28" s="5">
        <v>1.393</v>
      </c>
      <c r="M28" s="3">
        <v>5.0709999999999997</v>
      </c>
      <c r="N28" s="3">
        <v>1.2370000000000001</v>
      </c>
      <c r="P28" s="3">
        <v>5.4870000000000001</v>
      </c>
      <c r="Q28" s="5">
        <v>2.125</v>
      </c>
      <c r="R28">
        <v>8.2539999999999996</v>
      </c>
      <c r="S28">
        <v>1.5880000000000001</v>
      </c>
      <c r="T28"/>
      <c r="U28">
        <v>8.2270000000000003</v>
      </c>
      <c r="V28" s="5">
        <v>2.6680000000000001</v>
      </c>
      <c r="W28">
        <v>7.3860000000000001</v>
      </c>
      <c r="X28">
        <v>1.87</v>
      </c>
      <c r="Y28"/>
      <c r="Z28">
        <v>7.6369999999999996</v>
      </c>
      <c r="AA28" s="5"/>
      <c r="AB28">
        <v>11.223000000000001</v>
      </c>
      <c r="AC28">
        <v>2.1589999999999998</v>
      </c>
      <c r="AD28"/>
      <c r="AE28">
        <v>10.54</v>
      </c>
      <c r="AF28" s="5"/>
      <c r="AG28">
        <v>11.772</v>
      </c>
      <c r="AH28">
        <v>3.0369999999999999</v>
      </c>
      <c r="AI28"/>
      <c r="AJ28">
        <v>13.718999999999999</v>
      </c>
    </row>
    <row r="29" spans="1:36" x14ac:dyDescent="0.45">
      <c r="A29" s="3">
        <v>27</v>
      </c>
      <c r="B29" s="5">
        <v>0.82</v>
      </c>
      <c r="C29" s="3">
        <v>2.82</v>
      </c>
      <c r="F29" s="3">
        <v>1.5409999999999999</v>
      </c>
      <c r="G29" s="5">
        <v>1.413</v>
      </c>
      <c r="I29" s="3">
        <v>1.621</v>
      </c>
      <c r="K29" s="3">
        <v>4.4329999999999998</v>
      </c>
      <c r="L29" s="5">
        <v>1.863</v>
      </c>
      <c r="M29" s="3">
        <v>4.6849999999999996</v>
      </c>
      <c r="N29" s="3">
        <v>2.3450000000000002</v>
      </c>
      <c r="P29" s="3">
        <v>6.4560000000000004</v>
      </c>
      <c r="Q29" s="5"/>
      <c r="R29"/>
      <c r="S29">
        <v>1.5609999999999999</v>
      </c>
      <c r="T29"/>
      <c r="U29">
        <v>8.8520000000000003</v>
      </c>
      <c r="V29" s="5">
        <v>2.8879999999999999</v>
      </c>
      <c r="W29">
        <v>7.617</v>
      </c>
      <c r="X29">
        <v>2.5259999999999998</v>
      </c>
      <c r="Y29"/>
      <c r="Z29">
        <v>8.734</v>
      </c>
      <c r="AA29" s="5"/>
      <c r="AB29">
        <v>8.8360000000000003</v>
      </c>
      <c r="AC29">
        <v>3.1019999999999999</v>
      </c>
      <c r="AD29"/>
      <c r="AE29">
        <v>12.221</v>
      </c>
      <c r="AF29" s="5"/>
      <c r="AG29">
        <v>11.42</v>
      </c>
      <c r="AH29">
        <v>2.117</v>
      </c>
      <c r="AI29"/>
      <c r="AJ29">
        <v>12.093999999999999</v>
      </c>
    </row>
    <row r="30" spans="1:36" x14ac:dyDescent="0.45">
      <c r="B30" s="5"/>
      <c r="C30" s="3">
        <v>2.1509999999999998</v>
      </c>
      <c r="F30" s="3">
        <v>1.4590000000000001</v>
      </c>
      <c r="G30" s="5">
        <v>1.1930000000000001</v>
      </c>
      <c r="I30" s="3">
        <v>1.627</v>
      </c>
      <c r="K30" s="3">
        <v>4.7469999999999999</v>
      </c>
      <c r="L30" s="5">
        <v>1.7430000000000001</v>
      </c>
      <c r="M30" s="3">
        <v>6.851</v>
      </c>
      <c r="N30" s="3">
        <v>1.5069999999999999</v>
      </c>
      <c r="P30" s="3">
        <v>6.0670000000000002</v>
      </c>
      <c r="Q30" s="5"/>
      <c r="R30"/>
      <c r="S30">
        <v>1.4339999999999999</v>
      </c>
      <c r="T30"/>
      <c r="U30">
        <v>9.0310000000000006</v>
      </c>
      <c r="V30" s="5">
        <v>3.2320000000000002</v>
      </c>
      <c r="W30"/>
      <c r="X30">
        <v>2.8149999999999999</v>
      </c>
      <c r="Y30"/>
      <c r="Z30">
        <v>9.0779999999999994</v>
      </c>
      <c r="AA30" s="5"/>
      <c r="AB30">
        <v>11.597</v>
      </c>
      <c r="AC30">
        <v>2.5750000000000002</v>
      </c>
      <c r="AD30"/>
      <c r="AE30">
        <v>11.827999999999999</v>
      </c>
      <c r="AF30" s="5"/>
      <c r="AG30">
        <v>11.066000000000001</v>
      </c>
      <c r="AH30">
        <v>2.2959999999999998</v>
      </c>
      <c r="AI30"/>
      <c r="AJ30">
        <v>11.337999999999999</v>
      </c>
    </row>
    <row r="31" spans="1:36" x14ac:dyDescent="0.45">
      <c r="B31" s="5"/>
      <c r="C31" s="3">
        <v>2.8719999999999999</v>
      </c>
      <c r="F31" s="3">
        <v>2.0339999999999998</v>
      </c>
      <c r="G31" s="5">
        <v>1.375</v>
      </c>
      <c r="I31" s="3">
        <v>1.538</v>
      </c>
      <c r="K31" s="3">
        <v>4.8079999999999998</v>
      </c>
      <c r="L31" s="5">
        <v>2.19</v>
      </c>
      <c r="N31" s="3">
        <v>1.982</v>
      </c>
      <c r="P31" s="3">
        <v>5.5359999999999996</v>
      </c>
      <c r="Q31" s="5"/>
      <c r="R31"/>
      <c r="S31">
        <v>1.587</v>
      </c>
      <c r="T31"/>
      <c r="U31">
        <v>8.2520000000000007</v>
      </c>
      <c r="V31" s="5">
        <v>2.581</v>
      </c>
      <c r="W31"/>
      <c r="X31">
        <v>2.024</v>
      </c>
      <c r="Y31"/>
      <c r="Z31">
        <v>9.9749999999999996</v>
      </c>
      <c r="AA31" s="5"/>
      <c r="AB31"/>
      <c r="AC31">
        <v>1.772</v>
      </c>
      <c r="AD31"/>
      <c r="AE31"/>
      <c r="AF31" s="5"/>
      <c r="AG31">
        <v>10.039</v>
      </c>
      <c r="AH31">
        <v>2.2690000000000001</v>
      </c>
      <c r="AI31"/>
      <c r="AJ31">
        <v>11.61</v>
      </c>
    </row>
    <row r="32" spans="1:36" x14ac:dyDescent="0.45">
      <c r="B32" s="5"/>
      <c r="C32" s="3">
        <v>2.2040000000000002</v>
      </c>
      <c r="F32" s="3">
        <v>1.8979999999999999</v>
      </c>
      <c r="G32" s="5">
        <v>1.234</v>
      </c>
      <c r="I32" s="3">
        <v>1.502</v>
      </c>
      <c r="K32" s="3">
        <v>3.7650000000000001</v>
      </c>
      <c r="L32" s="5">
        <v>1.5740000000000001</v>
      </c>
      <c r="M32" s="3">
        <v>4.774</v>
      </c>
      <c r="N32" s="3">
        <v>1.6719999999999999</v>
      </c>
      <c r="P32" s="3">
        <v>5.9820000000000002</v>
      </c>
      <c r="Q32" s="5"/>
      <c r="R32"/>
      <c r="S32">
        <v>1.7190000000000001</v>
      </c>
      <c r="T32"/>
      <c r="U32">
        <v>8.7040000000000006</v>
      </c>
      <c r="V32" s="5">
        <v>2.4620000000000002</v>
      </c>
      <c r="W32"/>
      <c r="X32"/>
      <c r="Y32"/>
      <c r="Z32">
        <v>9.1159999999999997</v>
      </c>
      <c r="AA32" s="5"/>
      <c r="AB32"/>
      <c r="AC32">
        <v>2.202</v>
      </c>
      <c r="AD32"/>
      <c r="AE32"/>
      <c r="AF32" s="5"/>
      <c r="AG32">
        <v>11.595000000000001</v>
      </c>
      <c r="AH32">
        <v>1.861</v>
      </c>
      <c r="AI32"/>
      <c r="AJ32">
        <v>12.821</v>
      </c>
    </row>
    <row r="33" spans="1:39" x14ac:dyDescent="0.45">
      <c r="B33" s="5"/>
      <c r="C33" s="3">
        <v>2.4569999999999999</v>
      </c>
      <c r="F33" s="3">
        <v>1.66</v>
      </c>
      <c r="G33" s="5">
        <v>1.377</v>
      </c>
      <c r="I33" s="3">
        <v>1.331</v>
      </c>
      <c r="K33" s="3">
        <v>4.2679999999999998</v>
      </c>
      <c r="L33" s="5">
        <v>1.724</v>
      </c>
      <c r="N33" s="3">
        <v>1.206</v>
      </c>
      <c r="P33" s="3">
        <v>6.5469999999999997</v>
      </c>
      <c r="Q33" s="5"/>
      <c r="R33"/>
      <c r="S33">
        <v>1.698</v>
      </c>
      <c r="T33"/>
      <c r="U33">
        <v>8.1649999999999991</v>
      </c>
      <c r="V33" s="5">
        <v>2.4340000000000002</v>
      </c>
      <c r="W33"/>
      <c r="X33"/>
      <c r="Y33"/>
      <c r="Z33">
        <v>8.5670000000000002</v>
      </c>
      <c r="AA33" s="5"/>
      <c r="AB33"/>
      <c r="AC33">
        <v>2.2890000000000001</v>
      </c>
      <c r="AD33"/>
      <c r="AE33"/>
      <c r="AF33" s="5"/>
      <c r="AG33"/>
      <c r="AH33">
        <v>1.77</v>
      </c>
      <c r="AI33"/>
      <c r="AJ33">
        <v>11.76</v>
      </c>
    </row>
    <row r="34" spans="1:39" x14ac:dyDescent="0.45">
      <c r="B34" s="5"/>
      <c r="C34" s="3">
        <v>1.9159999999999999</v>
      </c>
      <c r="F34" s="3">
        <v>1.5189999999999999</v>
      </c>
      <c r="G34" s="5">
        <v>0.91700000000000004</v>
      </c>
      <c r="I34" s="3">
        <v>1.28</v>
      </c>
      <c r="K34" s="3">
        <v>4.1379999999999999</v>
      </c>
      <c r="L34" s="5">
        <v>1.7470000000000001</v>
      </c>
      <c r="N34" s="3">
        <v>1.7190000000000001</v>
      </c>
      <c r="P34" s="3">
        <v>5.0819999999999999</v>
      </c>
      <c r="Q34" s="5"/>
      <c r="R34"/>
      <c r="S34">
        <v>1.5720000000000001</v>
      </c>
      <c r="T34"/>
      <c r="U34"/>
      <c r="V34" s="5">
        <v>2.431</v>
      </c>
      <c r="W34"/>
      <c r="X34"/>
      <c r="Y34"/>
      <c r="Z34">
        <v>8.5500000000000007</v>
      </c>
      <c r="AA34" s="5"/>
      <c r="AB34"/>
      <c r="AC34">
        <v>2.5939999999999999</v>
      </c>
      <c r="AD34"/>
      <c r="AE34"/>
      <c r="AF34" s="5"/>
      <c r="AG34"/>
      <c r="AH34"/>
      <c r="AI34"/>
      <c r="AJ34">
        <v>12.132999999999999</v>
      </c>
    </row>
    <row r="35" spans="1:39" x14ac:dyDescent="0.45">
      <c r="B35" s="5"/>
      <c r="C35" s="3">
        <v>2.141</v>
      </c>
      <c r="F35" s="3">
        <v>2.0099999999999998</v>
      </c>
      <c r="G35" s="5"/>
      <c r="I35" s="3">
        <v>1.3640000000000001</v>
      </c>
      <c r="K35" s="3">
        <v>4.6130000000000004</v>
      </c>
      <c r="L35" s="5">
        <v>1.1240000000000001</v>
      </c>
      <c r="N35" s="3">
        <v>1.24</v>
      </c>
      <c r="P35" s="3">
        <v>5.7190000000000003</v>
      </c>
      <c r="Q35" s="5"/>
      <c r="R35"/>
      <c r="S35"/>
      <c r="T35"/>
      <c r="U35"/>
      <c r="V35" s="5">
        <v>2.7389999999999999</v>
      </c>
      <c r="W35"/>
      <c r="X35"/>
      <c r="Y35"/>
      <c r="Z35">
        <v>9.1219999999999999</v>
      </c>
      <c r="AA35" s="5"/>
      <c r="AB35"/>
      <c r="AC35">
        <v>2.4809999999999999</v>
      </c>
      <c r="AD35"/>
      <c r="AE35"/>
      <c r="AF35" s="5"/>
      <c r="AG35"/>
      <c r="AH35"/>
      <c r="AI35"/>
    </row>
    <row r="36" spans="1:39" x14ac:dyDescent="0.45">
      <c r="B36" s="5"/>
      <c r="F36" s="3">
        <v>1.587</v>
      </c>
      <c r="G36" s="5"/>
      <c r="I36" s="3">
        <v>1.3069999999999999</v>
      </c>
      <c r="K36" s="3">
        <v>5.0060000000000002</v>
      </c>
      <c r="L36" s="5"/>
      <c r="N36" s="3">
        <v>1.3029999999999999</v>
      </c>
      <c r="P36" s="3">
        <v>6.1689999999999996</v>
      </c>
      <c r="Q36" s="5"/>
      <c r="R36"/>
      <c r="S36"/>
      <c r="T36"/>
      <c r="U36"/>
      <c r="V36" s="5"/>
      <c r="W36"/>
      <c r="X36"/>
      <c r="Y36"/>
      <c r="Z36"/>
      <c r="AA36" s="5"/>
      <c r="AB36"/>
      <c r="AC36"/>
      <c r="AD36"/>
      <c r="AE36"/>
      <c r="AF36" s="5"/>
      <c r="AG36"/>
      <c r="AH36"/>
      <c r="AI36"/>
    </row>
    <row r="37" spans="1:39" x14ac:dyDescent="0.45">
      <c r="B37" s="5"/>
      <c r="G37" s="5"/>
      <c r="I37" s="3">
        <v>1.6819999999999999</v>
      </c>
      <c r="K37" s="3">
        <v>5.2140000000000004</v>
      </c>
      <c r="L37" s="5"/>
      <c r="N37" s="3">
        <v>1.72</v>
      </c>
      <c r="P37" s="3">
        <v>6.4180000000000001</v>
      </c>
      <c r="Q37" s="5"/>
      <c r="R37"/>
      <c r="S37"/>
      <c r="T37"/>
      <c r="U37"/>
      <c r="V37" s="5">
        <v>1.899</v>
      </c>
      <c r="W37"/>
      <c r="X37"/>
      <c r="Y37"/>
      <c r="Z37"/>
      <c r="AA37" s="5"/>
      <c r="AB37"/>
      <c r="AC37"/>
      <c r="AD37"/>
      <c r="AE37"/>
      <c r="AF37" s="5"/>
      <c r="AG37"/>
      <c r="AH37"/>
      <c r="AI37"/>
    </row>
    <row r="38" spans="1:39" x14ac:dyDescent="0.45">
      <c r="B38" s="5"/>
      <c r="G38" s="5"/>
      <c r="I38" s="3">
        <v>1.774</v>
      </c>
      <c r="K38" s="3">
        <v>3.4750000000000001</v>
      </c>
      <c r="L38" s="5"/>
      <c r="N38" s="3">
        <v>1.5189999999999999</v>
      </c>
      <c r="P38" s="3">
        <v>5.74</v>
      </c>
      <c r="Q38" s="5"/>
      <c r="R38"/>
      <c r="S38"/>
      <c r="T38"/>
      <c r="U38"/>
      <c r="V38" s="5"/>
      <c r="W38"/>
      <c r="X38"/>
      <c r="Y38"/>
      <c r="Z38"/>
      <c r="AA38" s="5"/>
      <c r="AB38"/>
      <c r="AC38"/>
      <c r="AD38"/>
      <c r="AE38"/>
      <c r="AF38" s="5"/>
      <c r="AG38"/>
      <c r="AH38"/>
      <c r="AI38"/>
    </row>
    <row r="39" spans="1:39" x14ac:dyDescent="0.45">
      <c r="B39" s="5"/>
      <c r="G39" s="5"/>
      <c r="I39" s="3">
        <v>1.6819999999999999</v>
      </c>
      <c r="L39" s="5"/>
      <c r="N39" s="3">
        <v>1.607</v>
      </c>
      <c r="P39" s="3">
        <v>6.125</v>
      </c>
      <c r="Q39" s="5"/>
      <c r="R39"/>
      <c r="S39"/>
      <c r="T39"/>
      <c r="U39"/>
      <c r="V39" s="5"/>
      <c r="W39"/>
      <c r="X39"/>
      <c r="Y39"/>
      <c r="Z39"/>
      <c r="AA39" s="5"/>
      <c r="AB39"/>
      <c r="AC39"/>
      <c r="AD39"/>
      <c r="AE39"/>
      <c r="AF39" s="5"/>
      <c r="AG39"/>
      <c r="AH39"/>
      <c r="AI39"/>
    </row>
    <row r="40" spans="1:39" x14ac:dyDescent="0.45">
      <c r="B40" s="5"/>
      <c r="G40" s="5"/>
      <c r="L40" s="5"/>
      <c r="N40" s="3">
        <v>1.649</v>
      </c>
      <c r="Q40" s="5"/>
      <c r="R40"/>
      <c r="S40"/>
      <c r="T40"/>
      <c r="U40"/>
      <c r="V40" s="5"/>
      <c r="W40"/>
      <c r="X40"/>
      <c r="Y40"/>
      <c r="Z40"/>
      <c r="AA40" s="5"/>
      <c r="AB40"/>
      <c r="AC40"/>
      <c r="AD40"/>
      <c r="AE40"/>
      <c r="AF40" s="5"/>
      <c r="AG40"/>
      <c r="AH40"/>
      <c r="AI40"/>
    </row>
    <row r="41" spans="1:39" x14ac:dyDescent="0.45">
      <c r="B41" s="5"/>
      <c r="G41" s="5"/>
      <c r="L41" s="5"/>
      <c r="Q41" s="5"/>
      <c r="R41"/>
      <c r="S41"/>
      <c r="T41"/>
      <c r="U41"/>
      <c r="V41" s="5"/>
      <c r="W41"/>
      <c r="X41"/>
      <c r="Y41"/>
      <c r="Z41"/>
      <c r="AA41" s="5"/>
      <c r="AB41"/>
      <c r="AC41"/>
      <c r="AD41"/>
      <c r="AE41"/>
      <c r="AF41" s="5"/>
      <c r="AG41"/>
      <c r="AH41"/>
      <c r="AI41"/>
    </row>
    <row r="42" spans="1:39" x14ac:dyDescent="0.45">
      <c r="B42" s="5"/>
      <c r="G42" s="5"/>
      <c r="L42" s="5"/>
      <c r="Q42" s="5"/>
      <c r="R42"/>
      <c r="S42"/>
      <c r="T42"/>
      <c r="U42"/>
      <c r="V42" s="5"/>
      <c r="W42"/>
      <c r="X42"/>
      <c r="Y42"/>
      <c r="Z42"/>
      <c r="AA42" s="5"/>
      <c r="AB42"/>
      <c r="AC42"/>
      <c r="AD42"/>
      <c r="AE42"/>
      <c r="AF42" s="5"/>
      <c r="AG42"/>
      <c r="AH42"/>
      <c r="AI42"/>
    </row>
    <row r="43" spans="1:39" x14ac:dyDescent="0.45">
      <c r="B43" s="5"/>
      <c r="G43" s="5"/>
      <c r="L43" s="5"/>
      <c r="Q43" s="5"/>
      <c r="V43" s="5"/>
      <c r="AA43" s="5"/>
      <c r="AF43" s="5"/>
      <c r="AJ43" s="3"/>
      <c r="AK43" s="3"/>
      <c r="AL43" s="3"/>
      <c r="AM43" s="3"/>
    </row>
    <row r="44" spans="1:39" x14ac:dyDescent="0.45">
      <c r="B44" s="5"/>
      <c r="G44" s="5"/>
      <c r="L44" s="5"/>
      <c r="Q44" s="5"/>
      <c r="V44" s="5"/>
      <c r="AA44" s="5"/>
      <c r="AF44" s="5"/>
      <c r="AJ44" s="3"/>
      <c r="AK44" s="3"/>
      <c r="AL44" s="3"/>
      <c r="AM44" s="3"/>
    </row>
    <row r="45" spans="1:39" x14ac:dyDescent="0.45">
      <c r="A45" s="3" t="s">
        <v>9</v>
      </c>
      <c r="B45" s="5">
        <f>AVERAGE(B3:B44)</f>
        <v>1.0336296296296295</v>
      </c>
      <c r="C45" s="3">
        <f t="shared" ref="C45:V45" si="0">AVERAGE(C3:C44)</f>
        <v>2.5384848484848477</v>
      </c>
      <c r="D45" s="3">
        <f t="shared" si="0"/>
        <v>0.94100000000000028</v>
      </c>
      <c r="E45" s="3">
        <f t="shared" si="0"/>
        <v>1.0160000000000002</v>
      </c>
      <c r="F45" s="3">
        <f t="shared" si="0"/>
        <v>1.6352647058823528</v>
      </c>
      <c r="G45" s="5">
        <f t="shared" si="0"/>
        <v>1.558125</v>
      </c>
      <c r="H45" s="3">
        <f t="shared" si="0"/>
        <v>4.9354230769230778</v>
      </c>
      <c r="I45" s="3">
        <f t="shared" si="0"/>
        <v>1.4776486486486489</v>
      </c>
      <c r="J45" s="3">
        <f t="shared" si="0"/>
        <v>4.057599999999999</v>
      </c>
      <c r="K45" s="3">
        <f t="shared" si="0"/>
        <v>4.6686111111111108</v>
      </c>
      <c r="L45" s="5">
        <f t="shared" si="0"/>
        <v>1.7159999999999997</v>
      </c>
      <c r="M45" s="3">
        <f t="shared" si="0"/>
        <v>5.5011034482758614</v>
      </c>
      <c r="N45" s="3">
        <f t="shared" si="0"/>
        <v>1.5634473684210526</v>
      </c>
      <c r="O45" s="3">
        <f t="shared" si="0"/>
        <v>5.4462500000000009</v>
      </c>
      <c r="P45" s="3">
        <f t="shared" si="0"/>
        <v>6.4009459459459457</v>
      </c>
      <c r="Q45" s="5">
        <f t="shared" si="0"/>
        <v>2.1785833333333335</v>
      </c>
      <c r="R45" s="3">
        <f t="shared" si="0"/>
        <v>7.2970769230769212</v>
      </c>
      <c r="S45" s="3">
        <f t="shared" si="0"/>
        <v>1.8557187500000001</v>
      </c>
      <c r="T45" s="3">
        <f t="shared" si="0"/>
        <v>7.1279285714285718</v>
      </c>
      <c r="U45" s="3">
        <f t="shared" si="0"/>
        <v>8.1460645161290337</v>
      </c>
      <c r="V45" s="5">
        <f t="shared" si="0"/>
        <v>2.6975483870967745</v>
      </c>
      <c r="W45" s="3">
        <f t="shared" ref="W45" si="1">AVERAGE(W3:W44)</f>
        <v>8.0742499999999993</v>
      </c>
      <c r="X45" s="3">
        <f t="shared" ref="X45" si="2">AVERAGE(X3:X44)</f>
        <v>1.8392758620689655</v>
      </c>
      <c r="Y45" s="3">
        <f t="shared" ref="Y45" si="3">AVERAGE(Y3:Y44)</f>
        <v>8.0173333333333332</v>
      </c>
      <c r="Z45" s="3">
        <f t="shared" ref="Z45" si="4">AVERAGE(Z3:Z44)</f>
        <v>9.1575454545454544</v>
      </c>
      <c r="AA45" s="5">
        <f t="shared" ref="AA45" si="5">AVERAGE(AA3:AA44)</f>
        <v>4.504999999999999</v>
      </c>
      <c r="AB45" s="3">
        <f t="shared" ref="AB45" si="6">AVERAGE(AB3:AB44)</f>
        <v>9.657785714285712</v>
      </c>
      <c r="AC45" s="3">
        <f t="shared" ref="AC45" si="7">AVERAGE(AC3:AC44)</f>
        <v>2.5084545454545459</v>
      </c>
      <c r="AD45" s="3">
        <f t="shared" ref="AD45" si="8">AVERAGE(AD3:AD44)</f>
        <v>9.0021249999999995</v>
      </c>
      <c r="AE45" s="3">
        <f t="shared" ref="AE45" si="9">AVERAGE(AE3:AE44)</f>
        <v>10.731964285714284</v>
      </c>
      <c r="AF45" s="5">
        <f t="shared" ref="AF45:AJ45" si="10">AVERAGE(AF3:AF44)</f>
        <v>4.5505599999999991</v>
      </c>
      <c r="AG45" s="3">
        <f t="shared" si="10"/>
        <v>10.733066666666666</v>
      </c>
      <c r="AH45" s="3">
        <f t="shared" si="10"/>
        <v>2.8756451612903233</v>
      </c>
      <c r="AI45" s="3">
        <f t="shared" si="10"/>
        <v>9.9983333333333348</v>
      </c>
      <c r="AJ45" s="3">
        <f t="shared" si="10"/>
        <v>11.799312500000001</v>
      </c>
      <c r="AK45" s="3"/>
      <c r="AL45" s="3"/>
      <c r="AM45" s="3"/>
    </row>
    <row r="46" spans="1:39" x14ac:dyDescent="0.45">
      <c r="A46" s="3" t="s">
        <v>10</v>
      </c>
      <c r="B46" s="5">
        <f>STDEV(B3:B44)</f>
        <v>0.18043540249334383</v>
      </c>
      <c r="C46" s="3">
        <f t="shared" ref="C46:V46" si="11">STDEV(C3:C44)</f>
        <v>0.33482020559661757</v>
      </c>
      <c r="D46" s="3">
        <f t="shared" si="11"/>
        <v>0.16980552601922572</v>
      </c>
      <c r="E46" s="3">
        <f t="shared" si="11"/>
        <v>0.15691016538134092</v>
      </c>
      <c r="F46" s="3">
        <f t="shared" si="11"/>
        <v>0.23846444482113111</v>
      </c>
      <c r="G46" s="5">
        <f t="shared" si="11"/>
        <v>0.37039941388513509</v>
      </c>
      <c r="H46" s="3">
        <f t="shared" si="11"/>
        <v>0.70296168732452491</v>
      </c>
      <c r="I46" s="3">
        <f t="shared" si="11"/>
        <v>0.19547225097414569</v>
      </c>
      <c r="J46" s="3">
        <f t="shared" si="11"/>
        <v>0.73932061477317113</v>
      </c>
      <c r="K46" s="3">
        <f t="shared" si="11"/>
        <v>0.39987800123664702</v>
      </c>
      <c r="L46" s="5">
        <f t="shared" si="11"/>
        <v>0.38406810919419121</v>
      </c>
      <c r="M46" s="3">
        <f t="shared" si="11"/>
        <v>0.67239971874875082</v>
      </c>
      <c r="N46" s="3">
        <f t="shared" si="11"/>
        <v>0.335336353722682</v>
      </c>
      <c r="O46" s="3">
        <f t="shared" si="11"/>
        <v>0.84469848664083891</v>
      </c>
      <c r="P46" s="3">
        <f t="shared" si="11"/>
        <v>0.6294841338546785</v>
      </c>
      <c r="Q46" s="5">
        <f t="shared" si="11"/>
        <v>0.37312381866877498</v>
      </c>
      <c r="R46" s="3">
        <f t="shared" si="11"/>
        <v>1.1428012923715936</v>
      </c>
      <c r="S46" s="3">
        <f t="shared" si="11"/>
        <v>0.52246501561379399</v>
      </c>
      <c r="T46" s="3">
        <f t="shared" si="11"/>
        <v>0.90712516855644598</v>
      </c>
      <c r="U46" s="3">
        <f t="shared" si="11"/>
        <v>0.57741867741895758</v>
      </c>
      <c r="V46" s="5">
        <f t="shared" si="11"/>
        <v>0.37749444487830114</v>
      </c>
      <c r="W46" s="3">
        <f t="shared" ref="W46:AF46" si="12">STDEV(W3:W44)</f>
        <v>1.0387205444994421</v>
      </c>
      <c r="X46" s="3">
        <f t="shared" si="12"/>
        <v>0.39699837140289557</v>
      </c>
      <c r="Y46" s="3">
        <f t="shared" si="12"/>
        <v>1.1387645884373065</v>
      </c>
      <c r="Z46" s="3">
        <f t="shared" si="12"/>
        <v>0.71136067200950759</v>
      </c>
      <c r="AA46" s="5">
        <f t="shared" si="12"/>
        <v>0.90458263856875232</v>
      </c>
      <c r="AB46" s="3">
        <f t="shared" si="12"/>
        <v>1.1933891159260017</v>
      </c>
      <c r="AC46" s="3">
        <f t="shared" si="12"/>
        <v>0.76413006463678512</v>
      </c>
      <c r="AD46" s="3">
        <f t="shared" si="12"/>
        <v>1.2040157183359441</v>
      </c>
      <c r="AE46" s="3">
        <f t="shared" si="12"/>
        <v>0.83971483175971628</v>
      </c>
      <c r="AF46" s="5">
        <f t="shared" si="12"/>
        <v>0.71689045420715458</v>
      </c>
      <c r="AG46" s="3">
        <f t="shared" ref="AG46:AJ46" si="13">STDEV(AG3:AG44)</f>
        <v>1.2019920228472982</v>
      </c>
      <c r="AH46" s="3">
        <f t="shared" si="13"/>
        <v>1.0493079163076036</v>
      </c>
      <c r="AI46" s="3">
        <f t="shared" si="13"/>
        <v>1.3297888482583748</v>
      </c>
      <c r="AJ46" s="3">
        <f t="shared" si="13"/>
        <v>0.80598428854854032</v>
      </c>
      <c r="AK46" s="3"/>
      <c r="AL46" s="3"/>
      <c r="AM46" s="3"/>
    </row>
    <row r="47" spans="1:39" x14ac:dyDescent="0.45">
      <c r="B47" s="5"/>
      <c r="G47" s="7">
        <f>TTEST(G3:G44,B3:B44,2,2)</f>
        <v>9.6537563065105401E-9</v>
      </c>
      <c r="H47" s="6">
        <f t="shared" ref="H47:K47" si="14">TTEST(H3:H44,C3:C44,2,2)</f>
        <v>2.4749417564264289E-24</v>
      </c>
      <c r="I47" s="6">
        <f t="shared" si="14"/>
        <v>2.7824380983839328E-16</v>
      </c>
      <c r="J47" s="6">
        <f t="shared" si="14"/>
        <v>6.7867936796056794E-9</v>
      </c>
      <c r="K47" s="6">
        <f t="shared" si="14"/>
        <v>1.0009674903481974E-47</v>
      </c>
      <c r="L47" s="5">
        <f>TTEST(L3:L44,G3:G44,2,2)</f>
        <v>9.6724431638132075E-2</v>
      </c>
      <c r="M47" s="6">
        <f t="shared" ref="M47:P47" si="15">TTEST(M3:M44,H3:H44,2,2)</f>
        <v>3.5808073792330149E-3</v>
      </c>
      <c r="N47" s="3">
        <f t="shared" si="15"/>
        <v>0.18152035243175571</v>
      </c>
      <c r="O47" s="6">
        <f t="shared" si="15"/>
        <v>3.7778286683566097E-5</v>
      </c>
      <c r="P47" s="6">
        <f t="shared" si="15"/>
        <v>4.296766500643993E-22</v>
      </c>
      <c r="Q47" s="7">
        <f>TTEST(Q3:Q44,L3:L44,2,2)</f>
        <v>3.072424094616419E-5</v>
      </c>
      <c r="R47" s="6">
        <f>TTEST(R3:R44,M3:M44,2,2)</f>
        <v>2.2140602603573367E-9</v>
      </c>
      <c r="S47" s="6">
        <f t="shared" ref="S47" si="16">TTEST(S3:S44,N3:N44,2,2)</f>
        <v>6.1592329750095017E-3</v>
      </c>
      <c r="T47" s="6">
        <f t="shared" ref="T47" si="17">TTEST(T3:T44,O3:O44,2,2)</f>
        <v>1.3767632307325645E-5</v>
      </c>
      <c r="U47" s="6">
        <f t="shared" ref="U47" si="18">TTEST(U3:U44,P3:P44,2,2)</f>
        <v>6.0136337661115112E-18</v>
      </c>
      <c r="V47" s="7">
        <f>TTEST(V3:V44,Q3:Q44,2,2)</f>
        <v>4.976808293555689E-6</v>
      </c>
      <c r="W47" s="6">
        <f t="shared" ref="W47" si="19">TTEST(W3:W44,R3:R44,2,2)</f>
        <v>1.5527944465291739E-2</v>
      </c>
      <c r="X47" s="3">
        <f>TTEST(X3:X44,S3:S44,2,2)</f>
        <v>0.89126917873383327</v>
      </c>
      <c r="Y47" s="6">
        <f t="shared" ref="Y47" si="20">TTEST(Y3:Y44,T3:T44,2,2)</f>
        <v>3.6360565338571162E-2</v>
      </c>
      <c r="Z47" s="6">
        <f t="shared" ref="Z47" si="21">TTEST(Z3:Z44,U3:U44,2,2)</f>
        <v>4.6859461339714568E-8</v>
      </c>
      <c r="AA47" s="7">
        <f t="shared" ref="AA47" si="22">TTEST(AA3:AA44,V3:V44,2,2)</f>
        <v>4.7334085052275763E-14</v>
      </c>
      <c r="AB47" s="6">
        <f t="shared" ref="AB47" si="23">TTEST(AB3:AB44,W3:W44,2,2)</f>
        <v>6.0274622564451469E-6</v>
      </c>
      <c r="AC47" s="6">
        <f t="shared" ref="AC47" si="24">TTEST(AC3:AC44,X3:X44,2,2)</f>
        <v>7.9094278577856826E-5</v>
      </c>
      <c r="AD47" s="6">
        <f t="shared" ref="AD47" si="25">TTEST(AD3:AD44,Y3:Y44,2,2)</f>
        <v>3.7588659613308324E-2</v>
      </c>
      <c r="AE47" s="6">
        <f t="shared" ref="AE47" si="26">TTEST(AE3:AE44,Z3:Z44,2,2)</f>
        <v>7.1973549429796001E-11</v>
      </c>
      <c r="AF47" s="5">
        <f t="shared" ref="AF47" si="27">TTEST(AF3:AF44,AA3:AA44,2,2)</f>
        <v>0.84437581383334204</v>
      </c>
      <c r="AG47" s="6">
        <f t="shared" ref="AG47" si="28">TTEST(AG3:AG44,AB3:AB44,2,2)</f>
        <v>1.1885999657369509E-3</v>
      </c>
      <c r="AH47" s="3">
        <f t="shared" ref="AH47" si="29">TTEST(AH3:AH44,AC3:AC44,2,2)</f>
        <v>0.11304901970021448</v>
      </c>
      <c r="AI47" s="6">
        <f t="shared" ref="AI47" si="30">TTEST(AI3:AI44,AD3:AD44,2,2)</f>
        <v>3.679746708025456E-2</v>
      </c>
      <c r="AJ47" s="6">
        <f t="shared" ref="AJ47" si="31">TTEST(AJ3:AJ44,AE3:AE44,2,2)</f>
        <v>5.2512519661066148E-6</v>
      </c>
      <c r="AK47" s="3"/>
      <c r="AL47" s="3"/>
      <c r="AM47" s="3"/>
    </row>
    <row r="48" spans="1:39" x14ac:dyDescent="0.45">
      <c r="B48" s="5"/>
      <c r="G48" s="5"/>
      <c r="L48" s="5"/>
      <c r="Q48" s="5"/>
      <c r="V48" s="5"/>
      <c r="AA48" s="5"/>
      <c r="AF48" s="5"/>
      <c r="AJ48" s="3"/>
      <c r="AK48" s="3"/>
      <c r="AL48" s="3"/>
      <c r="AM48" s="3"/>
    </row>
    <row r="49" spans="3:39" x14ac:dyDescent="0.45">
      <c r="AJ49" s="3"/>
      <c r="AK49" s="3"/>
      <c r="AL49" s="3"/>
      <c r="AM49" s="3"/>
    </row>
    <row r="50" spans="3:39" x14ac:dyDescent="0.45">
      <c r="AJ50" s="3"/>
      <c r="AK50" s="3"/>
      <c r="AL50" s="3"/>
      <c r="AM50" s="3"/>
    </row>
    <row r="51" spans="3:39" x14ac:dyDescent="0.45">
      <c r="AJ51" s="3"/>
      <c r="AK51" s="3"/>
      <c r="AL51" s="3"/>
      <c r="AM51" s="3"/>
    </row>
    <row r="54" spans="3:39" x14ac:dyDescent="0.45">
      <c r="E54" s="3" t="s">
        <v>0</v>
      </c>
      <c r="F54" s="3" t="s">
        <v>2</v>
      </c>
      <c r="G54" s="3" t="s">
        <v>3</v>
      </c>
      <c r="H54" s="3" t="s">
        <v>4</v>
      </c>
      <c r="I54" s="3" t="s">
        <v>5</v>
      </c>
    </row>
    <row r="55" spans="3:39" x14ac:dyDescent="0.45">
      <c r="C55" s="8" t="s">
        <v>9</v>
      </c>
      <c r="D55" s="3">
        <v>0</v>
      </c>
      <c r="E55" s="3">
        <f>B45</f>
        <v>1.0336296296296295</v>
      </c>
      <c r="F55" s="3">
        <f t="shared" ref="F55:I55" si="32">C45</f>
        <v>2.5384848484848477</v>
      </c>
      <c r="G55" s="3">
        <f t="shared" si="32"/>
        <v>0.94100000000000028</v>
      </c>
      <c r="H55" s="3">
        <f t="shared" si="32"/>
        <v>1.0160000000000002</v>
      </c>
      <c r="I55" s="3">
        <f t="shared" si="32"/>
        <v>1.6352647058823528</v>
      </c>
    </row>
    <row r="56" spans="3:39" x14ac:dyDescent="0.45">
      <c r="C56" s="8"/>
      <c r="D56" s="3">
        <v>12</v>
      </c>
      <c r="E56" s="3">
        <f>G45</f>
        <v>1.558125</v>
      </c>
      <c r="F56" s="3">
        <f t="shared" ref="F56:I56" si="33">H45</f>
        <v>4.9354230769230778</v>
      </c>
      <c r="G56" s="3">
        <f t="shared" si="33"/>
        <v>1.4776486486486489</v>
      </c>
      <c r="H56" s="3">
        <f t="shared" si="33"/>
        <v>4.057599999999999</v>
      </c>
      <c r="I56" s="3">
        <f t="shared" si="33"/>
        <v>4.6686111111111108</v>
      </c>
    </row>
    <row r="57" spans="3:39" x14ac:dyDescent="0.45">
      <c r="C57" s="8"/>
      <c r="D57" s="3">
        <v>24</v>
      </c>
      <c r="E57" s="3">
        <f>L45</f>
        <v>1.7159999999999997</v>
      </c>
      <c r="F57" s="3">
        <f t="shared" ref="F57:I57" si="34">M45</f>
        <v>5.5011034482758614</v>
      </c>
      <c r="G57" s="3">
        <f t="shared" si="34"/>
        <v>1.5634473684210526</v>
      </c>
      <c r="H57" s="3">
        <f t="shared" si="34"/>
        <v>5.4462500000000009</v>
      </c>
      <c r="I57" s="3">
        <f t="shared" si="34"/>
        <v>6.4009459459459457</v>
      </c>
    </row>
    <row r="58" spans="3:39" x14ac:dyDescent="0.45">
      <c r="C58" s="8"/>
      <c r="D58" s="4">
        <v>36</v>
      </c>
      <c r="E58" s="3">
        <f>Q45</f>
        <v>2.1785833333333335</v>
      </c>
      <c r="F58" s="3">
        <f t="shared" ref="F58:I58" si="35">R45</f>
        <v>7.2970769230769212</v>
      </c>
      <c r="G58" s="3">
        <f t="shared" si="35"/>
        <v>1.8557187500000001</v>
      </c>
      <c r="H58" s="3">
        <f t="shared" si="35"/>
        <v>7.1279285714285718</v>
      </c>
      <c r="I58" s="3">
        <f t="shared" si="35"/>
        <v>8.1460645161290337</v>
      </c>
    </row>
    <row r="59" spans="3:39" x14ac:dyDescent="0.45">
      <c r="C59" s="8"/>
      <c r="D59" s="4">
        <v>48</v>
      </c>
      <c r="E59" s="3">
        <f>V45</f>
        <v>2.6975483870967745</v>
      </c>
      <c r="F59" s="3">
        <f t="shared" ref="F59:I59" si="36">W45</f>
        <v>8.0742499999999993</v>
      </c>
      <c r="G59" s="3">
        <f t="shared" si="36"/>
        <v>1.8392758620689655</v>
      </c>
      <c r="H59" s="3">
        <f t="shared" si="36"/>
        <v>8.0173333333333332</v>
      </c>
      <c r="I59" s="3">
        <f t="shared" si="36"/>
        <v>9.1575454545454544</v>
      </c>
    </row>
    <row r="60" spans="3:39" x14ac:dyDescent="0.45">
      <c r="C60" s="8"/>
      <c r="D60" s="4">
        <v>60</v>
      </c>
      <c r="E60" s="3">
        <f>AA45</f>
        <v>4.504999999999999</v>
      </c>
      <c r="F60" s="3">
        <f t="shared" ref="F60:I60" si="37">AB45</f>
        <v>9.657785714285712</v>
      </c>
      <c r="G60" s="3">
        <f t="shared" si="37"/>
        <v>2.5084545454545459</v>
      </c>
      <c r="H60" s="3">
        <f t="shared" si="37"/>
        <v>9.0021249999999995</v>
      </c>
      <c r="I60" s="3">
        <f t="shared" si="37"/>
        <v>10.731964285714284</v>
      </c>
    </row>
    <row r="61" spans="3:39" x14ac:dyDescent="0.45">
      <c r="C61" s="8"/>
      <c r="D61" s="4">
        <v>72</v>
      </c>
      <c r="E61" s="3">
        <f>AF45</f>
        <v>4.5505599999999991</v>
      </c>
      <c r="F61" s="3">
        <f t="shared" ref="F61:I61" si="38">AG45</f>
        <v>10.733066666666666</v>
      </c>
      <c r="G61" s="3">
        <f t="shared" si="38"/>
        <v>2.8756451612903233</v>
      </c>
      <c r="H61" s="3">
        <f t="shared" si="38"/>
        <v>9.9983333333333348</v>
      </c>
      <c r="I61" s="3">
        <f t="shared" si="38"/>
        <v>11.799312500000001</v>
      </c>
    </row>
    <row r="62" spans="3:39" x14ac:dyDescent="0.45">
      <c r="C62" s="8" t="s">
        <v>10</v>
      </c>
      <c r="D62" s="3">
        <v>0</v>
      </c>
      <c r="E62" s="3">
        <f>B46</f>
        <v>0.18043540249334383</v>
      </c>
      <c r="F62" s="3">
        <f t="shared" ref="F62:I62" si="39">C46</f>
        <v>0.33482020559661757</v>
      </c>
      <c r="G62" s="3">
        <f t="shared" si="39"/>
        <v>0.16980552601922572</v>
      </c>
      <c r="H62" s="3">
        <f t="shared" si="39"/>
        <v>0.15691016538134092</v>
      </c>
      <c r="I62" s="3">
        <f t="shared" si="39"/>
        <v>0.23846444482113111</v>
      </c>
    </row>
    <row r="63" spans="3:39" x14ac:dyDescent="0.45">
      <c r="C63" s="8"/>
      <c r="D63" s="3">
        <v>12</v>
      </c>
      <c r="E63" s="3">
        <f>G46</f>
        <v>0.37039941388513509</v>
      </c>
      <c r="F63" s="3">
        <f t="shared" ref="F63:I63" si="40">H46</f>
        <v>0.70296168732452491</v>
      </c>
      <c r="G63" s="3">
        <f t="shared" si="40"/>
        <v>0.19547225097414569</v>
      </c>
      <c r="H63" s="3">
        <f t="shared" si="40"/>
        <v>0.73932061477317113</v>
      </c>
      <c r="I63" s="3">
        <f t="shared" si="40"/>
        <v>0.39987800123664702</v>
      </c>
    </row>
    <row r="64" spans="3:39" x14ac:dyDescent="0.45">
      <c r="C64" s="8"/>
      <c r="D64" s="3">
        <v>24</v>
      </c>
      <c r="E64" s="3">
        <f>L46</f>
        <v>0.38406810919419121</v>
      </c>
      <c r="F64" s="3">
        <f t="shared" ref="F64:I64" si="41">M46</f>
        <v>0.67239971874875082</v>
      </c>
      <c r="G64" s="3">
        <f t="shared" si="41"/>
        <v>0.335336353722682</v>
      </c>
      <c r="H64" s="3">
        <f t="shared" si="41"/>
        <v>0.84469848664083891</v>
      </c>
      <c r="I64" s="3">
        <f t="shared" si="41"/>
        <v>0.6294841338546785</v>
      </c>
    </row>
    <row r="65" spans="3:9" x14ac:dyDescent="0.45">
      <c r="C65" s="8"/>
      <c r="D65" s="4">
        <v>36</v>
      </c>
      <c r="E65" s="3">
        <f>Q46</f>
        <v>0.37312381866877498</v>
      </c>
      <c r="F65" s="3">
        <f t="shared" ref="F65:I65" si="42">R46</f>
        <v>1.1428012923715936</v>
      </c>
      <c r="G65" s="3">
        <f t="shared" si="42"/>
        <v>0.52246501561379399</v>
      </c>
      <c r="H65" s="3">
        <f t="shared" si="42"/>
        <v>0.90712516855644598</v>
      </c>
      <c r="I65" s="3">
        <f t="shared" si="42"/>
        <v>0.57741867741895758</v>
      </c>
    </row>
    <row r="66" spans="3:9" x14ac:dyDescent="0.45">
      <c r="C66" s="8"/>
      <c r="D66" s="4">
        <v>48</v>
      </c>
      <c r="E66" s="3">
        <f>V46</f>
        <v>0.37749444487830114</v>
      </c>
      <c r="F66" s="3">
        <f t="shared" ref="F66:I66" si="43">W46</f>
        <v>1.0387205444994421</v>
      </c>
      <c r="G66" s="3">
        <f t="shared" si="43"/>
        <v>0.39699837140289557</v>
      </c>
      <c r="H66" s="3">
        <f t="shared" si="43"/>
        <v>1.1387645884373065</v>
      </c>
      <c r="I66" s="3">
        <f t="shared" si="43"/>
        <v>0.71136067200950759</v>
      </c>
    </row>
    <row r="67" spans="3:9" x14ac:dyDescent="0.45">
      <c r="C67" s="8"/>
      <c r="D67" s="4">
        <v>60</v>
      </c>
      <c r="E67" s="3">
        <f>AA46</f>
        <v>0.90458263856875232</v>
      </c>
      <c r="F67" s="3">
        <f t="shared" ref="F67:I67" si="44">AB46</f>
        <v>1.1933891159260017</v>
      </c>
      <c r="G67" s="3">
        <f t="shared" si="44"/>
        <v>0.76413006463678512</v>
      </c>
      <c r="H67" s="3">
        <f t="shared" si="44"/>
        <v>1.2040157183359441</v>
      </c>
      <c r="I67" s="3">
        <f t="shared" si="44"/>
        <v>0.83971483175971628</v>
      </c>
    </row>
    <row r="68" spans="3:9" x14ac:dyDescent="0.45">
      <c r="C68" s="8"/>
      <c r="D68" s="4">
        <v>72</v>
      </c>
      <c r="E68" s="3">
        <f>AF46</f>
        <v>0.71689045420715458</v>
      </c>
      <c r="F68" s="3">
        <f t="shared" ref="F68:I68" si="45">AG46</f>
        <v>1.2019920228472982</v>
      </c>
      <c r="G68" s="3">
        <f t="shared" si="45"/>
        <v>1.0493079163076036</v>
      </c>
      <c r="H68" s="3">
        <f t="shared" si="45"/>
        <v>1.3297888482583748</v>
      </c>
      <c r="I68" s="3">
        <f t="shared" si="45"/>
        <v>0.80598428854854032</v>
      </c>
    </row>
    <row r="73" spans="3:9" x14ac:dyDescent="0.45">
      <c r="D73" s="3">
        <v>0.05</v>
      </c>
    </row>
    <row r="74" spans="3:9" x14ac:dyDescent="0.45">
      <c r="D74" s="3">
        <v>1E-3</v>
      </c>
    </row>
    <row r="75" spans="3:9" x14ac:dyDescent="0.45">
      <c r="D75" s="3">
        <v>1E-4</v>
      </c>
    </row>
  </sheetData>
  <mergeCells count="9">
    <mergeCell ref="C55:C61"/>
    <mergeCell ref="C62:C68"/>
    <mergeCell ref="AA1:AE1"/>
    <mergeCell ref="AF1:AJ1"/>
    <mergeCell ref="B1:F1"/>
    <mergeCell ref="G1:K1"/>
    <mergeCell ref="L1:P1"/>
    <mergeCell ref="Q1:U1"/>
    <mergeCell ref="V1:Z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C8DDE-2764-4EF8-B6DE-8114D34D91FD}">
  <dimension ref="A1:AM74"/>
  <sheetViews>
    <sheetView topLeftCell="E44" zoomScale="85" zoomScaleNormal="85" workbookViewId="0">
      <selection activeCell="P75" sqref="P75"/>
    </sheetView>
  </sheetViews>
  <sheetFormatPr defaultRowHeight="17" x14ac:dyDescent="0.45"/>
  <cols>
    <col min="1" max="11" width="8.6640625" style="3"/>
    <col min="12" max="12" width="12.08203125" style="3" bestFit="1" customWidth="1"/>
    <col min="13" max="16384" width="8.6640625" style="3"/>
  </cols>
  <sheetData>
    <row r="1" spans="1:36" customFormat="1" x14ac:dyDescent="0.45">
      <c r="A1" s="3"/>
      <c r="B1" s="8" t="s">
        <v>1</v>
      </c>
      <c r="C1" s="8"/>
      <c r="D1" s="8"/>
      <c r="E1" s="8"/>
      <c r="F1" s="8"/>
      <c r="G1" s="8" t="s">
        <v>6</v>
      </c>
      <c r="H1" s="8"/>
      <c r="I1" s="8"/>
      <c r="J1" s="8"/>
      <c r="K1" s="8"/>
      <c r="L1" s="8" t="s">
        <v>7</v>
      </c>
      <c r="M1" s="8"/>
      <c r="N1" s="8"/>
      <c r="O1" s="8"/>
      <c r="P1" s="8"/>
      <c r="Q1" s="9" t="s">
        <v>8</v>
      </c>
      <c r="R1" s="9"/>
      <c r="S1" s="9"/>
      <c r="T1" s="9"/>
      <c r="U1" s="9"/>
      <c r="V1" s="9" t="s">
        <v>11</v>
      </c>
      <c r="W1" s="9"/>
      <c r="X1" s="9"/>
      <c r="Y1" s="9"/>
      <c r="Z1" s="9"/>
      <c r="AA1" s="9" t="s">
        <v>12</v>
      </c>
      <c r="AB1" s="9"/>
      <c r="AC1" s="9"/>
      <c r="AD1" s="9"/>
      <c r="AE1" s="9"/>
      <c r="AF1" s="9" t="s">
        <v>13</v>
      </c>
      <c r="AG1" s="9"/>
      <c r="AH1" s="9"/>
      <c r="AI1" s="9"/>
      <c r="AJ1" s="9"/>
    </row>
    <row r="2" spans="1:36" s="1" customFormat="1" x14ac:dyDescent="0.45">
      <c r="B2" s="2" t="s">
        <v>0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0</v>
      </c>
      <c r="H2" s="1" t="s">
        <v>2</v>
      </c>
      <c r="I2" s="1" t="s">
        <v>3</v>
      </c>
      <c r="J2" s="1" t="s">
        <v>4</v>
      </c>
      <c r="K2" s="1" t="s">
        <v>5</v>
      </c>
      <c r="L2" s="2" t="s">
        <v>0</v>
      </c>
      <c r="M2" s="1" t="s">
        <v>2</v>
      </c>
      <c r="N2" s="1" t="s">
        <v>3</v>
      </c>
      <c r="O2" s="1" t="s">
        <v>4</v>
      </c>
      <c r="P2" s="1" t="s">
        <v>5</v>
      </c>
      <c r="Q2" s="2" t="s">
        <v>0</v>
      </c>
      <c r="R2" s="1" t="s">
        <v>2</v>
      </c>
      <c r="S2" s="1" t="s">
        <v>3</v>
      </c>
      <c r="T2" s="1" t="s">
        <v>4</v>
      </c>
      <c r="U2" s="1" t="s">
        <v>5</v>
      </c>
      <c r="V2" s="2" t="s">
        <v>0</v>
      </c>
      <c r="W2" s="1" t="s">
        <v>2</v>
      </c>
      <c r="X2" s="1" t="s">
        <v>3</v>
      </c>
      <c r="Y2" s="1" t="s">
        <v>4</v>
      </c>
      <c r="Z2" s="1" t="s">
        <v>5</v>
      </c>
      <c r="AA2" s="2" t="s">
        <v>0</v>
      </c>
      <c r="AB2" s="1" t="s">
        <v>2</v>
      </c>
      <c r="AC2" s="1" t="s">
        <v>3</v>
      </c>
      <c r="AD2" s="1" t="s">
        <v>4</v>
      </c>
      <c r="AE2" s="1" t="s">
        <v>5</v>
      </c>
      <c r="AF2" s="2" t="s">
        <v>0</v>
      </c>
      <c r="AG2" s="1" t="s">
        <v>2</v>
      </c>
      <c r="AH2" s="1" t="s">
        <v>3</v>
      </c>
      <c r="AI2" s="1" t="s">
        <v>4</v>
      </c>
      <c r="AJ2" s="1" t="s">
        <v>5</v>
      </c>
    </row>
    <row r="3" spans="1:36" customFormat="1" x14ac:dyDescent="0.45">
      <c r="A3" s="3">
        <v>1</v>
      </c>
      <c r="B3" s="5">
        <v>1.121</v>
      </c>
      <c r="C3">
        <v>2.39</v>
      </c>
      <c r="D3">
        <v>1.052</v>
      </c>
      <c r="E3">
        <v>0.92100000000000004</v>
      </c>
      <c r="F3">
        <v>0.98499999999999999</v>
      </c>
      <c r="G3" s="5">
        <v>2.1779999999999999</v>
      </c>
      <c r="H3">
        <v>4.2149999999999999</v>
      </c>
      <c r="I3">
        <v>2.431</v>
      </c>
      <c r="J3">
        <v>2.5830000000000002</v>
      </c>
      <c r="K3">
        <v>4.0819999999999999</v>
      </c>
      <c r="L3" s="5">
        <v>3.202</v>
      </c>
      <c r="M3">
        <v>6.7539999999999996</v>
      </c>
      <c r="N3">
        <v>4.024</v>
      </c>
      <c r="O3">
        <v>5.4029999999999996</v>
      </c>
      <c r="P3">
        <v>8.157</v>
      </c>
      <c r="Q3" s="5">
        <v>4.1950000000000003</v>
      </c>
      <c r="R3">
        <v>7.9</v>
      </c>
      <c r="S3">
        <v>5.0330000000000004</v>
      </c>
      <c r="T3">
        <v>8.0540000000000003</v>
      </c>
      <c r="U3">
        <v>10.255000000000001</v>
      </c>
      <c r="V3" s="5">
        <v>4.7510000000000003</v>
      </c>
      <c r="W3">
        <v>8.5920000000000005</v>
      </c>
      <c r="X3">
        <v>4.3570000000000002</v>
      </c>
      <c r="Y3">
        <v>9.327</v>
      </c>
      <c r="Z3">
        <v>11.244999999999999</v>
      </c>
      <c r="AA3" s="5">
        <v>7.1310000000000002</v>
      </c>
      <c r="AC3">
        <v>5.7080000000000002</v>
      </c>
      <c r="AD3">
        <v>9.3230000000000004</v>
      </c>
      <c r="AE3">
        <v>14.436999999999999</v>
      </c>
      <c r="AF3" s="5">
        <v>8.0570000000000004</v>
      </c>
      <c r="AG3">
        <v>11.473000000000001</v>
      </c>
      <c r="AH3">
        <v>5.2050000000000001</v>
      </c>
      <c r="AJ3">
        <v>14.853</v>
      </c>
    </row>
    <row r="4" spans="1:36" customFormat="1" x14ac:dyDescent="0.45">
      <c r="A4" s="3">
        <v>2</v>
      </c>
      <c r="B4" s="5">
        <v>0.91900000000000004</v>
      </c>
      <c r="C4">
        <v>1.954</v>
      </c>
      <c r="D4">
        <v>0.85699999999999998</v>
      </c>
      <c r="E4">
        <v>0.92500000000000004</v>
      </c>
      <c r="F4">
        <v>1.4419999999999999</v>
      </c>
      <c r="G4" s="5">
        <v>1.95</v>
      </c>
      <c r="H4">
        <v>4.4850000000000003</v>
      </c>
      <c r="I4">
        <v>2.504</v>
      </c>
      <c r="J4">
        <v>2.75</v>
      </c>
      <c r="K4">
        <v>3.0049999999999999</v>
      </c>
      <c r="L4" s="5">
        <v>3.1150000000000002</v>
      </c>
      <c r="M4">
        <v>6.8120000000000003</v>
      </c>
      <c r="N4">
        <v>3.6360000000000001</v>
      </c>
      <c r="O4">
        <v>6.1230000000000002</v>
      </c>
      <c r="P4">
        <v>7.3109999999999999</v>
      </c>
      <c r="Q4" s="5">
        <v>4.4130000000000003</v>
      </c>
      <c r="R4">
        <v>7.1210000000000004</v>
      </c>
      <c r="S4">
        <v>5.2</v>
      </c>
      <c r="T4">
        <v>5.9059999999999997</v>
      </c>
      <c r="U4">
        <v>12.401999999999999</v>
      </c>
      <c r="V4" s="5">
        <v>6.0289999999999999</v>
      </c>
      <c r="W4">
        <v>9.8149999999999995</v>
      </c>
      <c r="X4">
        <v>4.3940000000000001</v>
      </c>
      <c r="Y4">
        <v>8.7799999999999994</v>
      </c>
      <c r="Z4">
        <v>13.355</v>
      </c>
      <c r="AA4" s="5">
        <v>6.6559999999999997</v>
      </c>
      <c r="AB4">
        <v>12.814</v>
      </c>
      <c r="AC4">
        <v>6.617</v>
      </c>
      <c r="AD4">
        <v>10.366</v>
      </c>
      <c r="AE4">
        <v>13.193</v>
      </c>
      <c r="AF4" s="5">
        <v>5.8390000000000004</v>
      </c>
      <c r="AG4">
        <v>12.752000000000001</v>
      </c>
      <c r="AH4">
        <v>6.0720000000000001</v>
      </c>
      <c r="AI4">
        <v>13.055999999999999</v>
      </c>
      <c r="AJ4">
        <v>15.01</v>
      </c>
    </row>
    <row r="5" spans="1:36" customFormat="1" x14ac:dyDescent="0.45">
      <c r="A5" s="3">
        <v>3</v>
      </c>
      <c r="B5" s="5">
        <v>1.2150000000000001</v>
      </c>
      <c r="C5">
        <v>1.6679999999999999</v>
      </c>
      <c r="D5">
        <v>1.0569999999999999</v>
      </c>
      <c r="E5">
        <v>0.91</v>
      </c>
      <c r="F5">
        <v>1.401</v>
      </c>
      <c r="G5" s="5">
        <v>1.462</v>
      </c>
      <c r="H5">
        <v>5.3609999999999998</v>
      </c>
      <c r="I5">
        <v>1.9850000000000001</v>
      </c>
      <c r="J5">
        <v>3.23</v>
      </c>
      <c r="K5">
        <v>3.1349999999999998</v>
      </c>
      <c r="L5" s="5">
        <v>3.6659999999999999</v>
      </c>
      <c r="M5">
        <v>6.6559999999999997</v>
      </c>
      <c r="N5">
        <v>3.5859999999999999</v>
      </c>
      <c r="O5">
        <v>5.8540000000000001</v>
      </c>
      <c r="P5">
        <v>7.7930000000000001</v>
      </c>
      <c r="Q5" s="5">
        <v>4.6769999999999996</v>
      </c>
      <c r="R5">
        <v>8.1969999999999992</v>
      </c>
      <c r="S5">
        <v>5.2009999999999996</v>
      </c>
      <c r="T5">
        <v>8.7119999999999997</v>
      </c>
      <c r="U5">
        <v>11.172000000000001</v>
      </c>
      <c r="V5" s="5">
        <v>4.9989999999999997</v>
      </c>
      <c r="W5">
        <v>8.266</v>
      </c>
      <c r="X5">
        <v>6.4720000000000004</v>
      </c>
      <c r="Y5">
        <v>9.2690000000000001</v>
      </c>
      <c r="Z5">
        <v>13.076000000000001</v>
      </c>
      <c r="AA5" s="5">
        <v>5.1929999999999996</v>
      </c>
      <c r="AB5">
        <v>14.824999999999999</v>
      </c>
      <c r="AC5">
        <v>6.2069999999999999</v>
      </c>
      <c r="AD5">
        <v>10.079000000000001</v>
      </c>
      <c r="AE5">
        <v>14.733000000000001</v>
      </c>
      <c r="AF5" s="5">
        <v>7.1020000000000003</v>
      </c>
      <c r="AG5">
        <v>13.089</v>
      </c>
      <c r="AH5">
        <v>7.3559999999999999</v>
      </c>
      <c r="AI5">
        <v>12.721</v>
      </c>
      <c r="AJ5">
        <v>15.48</v>
      </c>
    </row>
    <row r="6" spans="1:36" customFormat="1" x14ac:dyDescent="0.45">
      <c r="A6" s="3">
        <v>4</v>
      </c>
      <c r="B6" s="5">
        <v>1.083</v>
      </c>
      <c r="C6">
        <v>2.181</v>
      </c>
      <c r="D6">
        <v>0.98599999999999999</v>
      </c>
      <c r="F6">
        <v>1.4830000000000001</v>
      </c>
      <c r="G6" s="5">
        <v>2.3029999999999999</v>
      </c>
      <c r="H6">
        <v>3.7240000000000002</v>
      </c>
      <c r="I6">
        <v>1.6919999999999999</v>
      </c>
      <c r="J6">
        <v>2.21</v>
      </c>
      <c r="K6">
        <v>5.0270000000000001</v>
      </c>
      <c r="L6" s="5">
        <v>2.7669999999999999</v>
      </c>
      <c r="M6">
        <v>6.5190000000000001</v>
      </c>
      <c r="N6">
        <v>3.903</v>
      </c>
      <c r="O6">
        <v>5.1920000000000002</v>
      </c>
      <c r="P6">
        <v>7.4119999999999999</v>
      </c>
      <c r="Q6" s="5">
        <v>4.9329999999999998</v>
      </c>
      <c r="R6">
        <v>10.183999999999999</v>
      </c>
      <c r="S6">
        <v>5.3360000000000003</v>
      </c>
      <c r="T6">
        <v>7.7309999999999999</v>
      </c>
      <c r="U6">
        <v>9.4149999999999991</v>
      </c>
      <c r="V6" s="5">
        <v>5.51</v>
      </c>
      <c r="W6">
        <v>8.4329999999999998</v>
      </c>
      <c r="X6">
        <v>6.73</v>
      </c>
      <c r="Y6">
        <v>9.5090000000000003</v>
      </c>
      <c r="Z6">
        <v>11.755000000000001</v>
      </c>
      <c r="AA6" s="5">
        <v>6.9530000000000003</v>
      </c>
      <c r="AB6">
        <v>11.35</v>
      </c>
      <c r="AC6">
        <v>7.7160000000000002</v>
      </c>
      <c r="AD6">
        <v>9.298</v>
      </c>
      <c r="AE6">
        <v>14.422000000000001</v>
      </c>
      <c r="AF6" s="5">
        <v>6.7789999999999999</v>
      </c>
      <c r="AG6">
        <v>12.417999999999999</v>
      </c>
      <c r="AH6">
        <v>7.3890000000000002</v>
      </c>
      <c r="AI6">
        <v>12.862</v>
      </c>
      <c r="AJ6">
        <v>13.414999999999999</v>
      </c>
    </row>
    <row r="7" spans="1:36" customFormat="1" x14ac:dyDescent="0.45">
      <c r="A7" s="3">
        <v>5</v>
      </c>
      <c r="B7" s="5">
        <v>1.252</v>
      </c>
      <c r="C7">
        <v>2.1920000000000002</v>
      </c>
      <c r="D7">
        <v>1.224</v>
      </c>
      <c r="F7">
        <v>1.1060000000000001</v>
      </c>
      <c r="G7" s="5">
        <v>1.4079999999999999</v>
      </c>
      <c r="H7">
        <v>5.2359999999999998</v>
      </c>
      <c r="I7">
        <v>1.694</v>
      </c>
      <c r="J7">
        <v>2.6139999999999999</v>
      </c>
      <c r="K7">
        <v>4.0609999999999999</v>
      </c>
      <c r="L7" s="5">
        <v>2.6190000000000002</v>
      </c>
      <c r="M7">
        <v>7.125</v>
      </c>
      <c r="N7">
        <v>4.74</v>
      </c>
      <c r="O7">
        <v>5.351</v>
      </c>
      <c r="P7">
        <v>7.2750000000000004</v>
      </c>
      <c r="Q7" s="5">
        <v>4.5750000000000002</v>
      </c>
      <c r="R7">
        <v>9.516</v>
      </c>
      <c r="S7">
        <v>4.9560000000000004</v>
      </c>
      <c r="T7">
        <v>6.5119999999999996</v>
      </c>
      <c r="U7">
        <v>10.535</v>
      </c>
      <c r="V7" s="5">
        <v>5.548</v>
      </c>
      <c r="W7">
        <v>10.685</v>
      </c>
      <c r="X7">
        <v>5.4710000000000001</v>
      </c>
      <c r="Y7">
        <v>9.1110000000000007</v>
      </c>
      <c r="Z7">
        <v>10.901</v>
      </c>
      <c r="AA7" s="5">
        <v>6.1630000000000003</v>
      </c>
      <c r="AB7">
        <v>11.007</v>
      </c>
      <c r="AC7">
        <v>6.069</v>
      </c>
      <c r="AD7">
        <v>10.416</v>
      </c>
      <c r="AE7">
        <v>13.708</v>
      </c>
      <c r="AF7" s="5">
        <v>6.6120000000000001</v>
      </c>
      <c r="AG7">
        <v>11.611000000000001</v>
      </c>
      <c r="AH7">
        <v>5.532</v>
      </c>
      <c r="AI7">
        <v>9.5039999999999996</v>
      </c>
      <c r="AJ7">
        <v>13.683</v>
      </c>
    </row>
    <row r="8" spans="1:36" customFormat="1" x14ac:dyDescent="0.45">
      <c r="A8" s="3">
        <v>6</v>
      </c>
      <c r="B8" s="5">
        <v>1.1479999999999999</v>
      </c>
      <c r="C8">
        <v>1.921</v>
      </c>
      <c r="D8">
        <v>1.1830000000000001</v>
      </c>
      <c r="F8">
        <v>0.871</v>
      </c>
      <c r="G8" s="5">
        <v>1.5880000000000001</v>
      </c>
      <c r="H8">
        <v>3.96</v>
      </c>
      <c r="I8">
        <v>1.677</v>
      </c>
      <c r="J8">
        <v>1.9730000000000001</v>
      </c>
      <c r="K8">
        <v>3.7429999999999999</v>
      </c>
      <c r="L8" s="5">
        <v>3.4329999999999998</v>
      </c>
      <c r="M8">
        <v>5.484</v>
      </c>
      <c r="N8">
        <v>4.1660000000000004</v>
      </c>
      <c r="O8">
        <v>4.5339999999999998</v>
      </c>
      <c r="P8">
        <v>6.8490000000000002</v>
      </c>
      <c r="Q8" s="5">
        <v>3.827</v>
      </c>
      <c r="R8">
        <v>9.6969999999999992</v>
      </c>
      <c r="S8">
        <v>4.9850000000000003</v>
      </c>
      <c r="T8">
        <v>7.0419999999999998</v>
      </c>
      <c r="U8">
        <v>10.754</v>
      </c>
      <c r="V8" s="5">
        <v>5.1790000000000003</v>
      </c>
      <c r="W8">
        <v>10.662000000000001</v>
      </c>
      <c r="X8">
        <v>4.1890000000000001</v>
      </c>
      <c r="Y8">
        <v>10.092000000000001</v>
      </c>
      <c r="Z8">
        <v>12.007999999999999</v>
      </c>
      <c r="AA8" s="5">
        <v>4.7309999999999999</v>
      </c>
      <c r="AB8">
        <v>11.64</v>
      </c>
      <c r="AC8">
        <v>7.49</v>
      </c>
      <c r="AD8">
        <v>9.7889999999999997</v>
      </c>
      <c r="AE8">
        <v>11.917</v>
      </c>
      <c r="AF8" s="5">
        <v>6.657</v>
      </c>
      <c r="AG8">
        <v>11.494</v>
      </c>
      <c r="AH8">
        <v>8.0549999999999997</v>
      </c>
      <c r="AI8">
        <v>10.637</v>
      </c>
      <c r="AJ8">
        <v>14.058999999999999</v>
      </c>
    </row>
    <row r="9" spans="1:36" customFormat="1" x14ac:dyDescent="0.45">
      <c r="A9" s="3">
        <v>7</v>
      </c>
      <c r="B9" s="5">
        <v>1.5269999999999999</v>
      </c>
      <c r="C9">
        <v>2.38</v>
      </c>
      <c r="D9">
        <v>1.246</v>
      </c>
      <c r="F9">
        <v>1.194</v>
      </c>
      <c r="G9" s="5">
        <v>1.9059999999999999</v>
      </c>
      <c r="H9">
        <v>4.3310000000000004</v>
      </c>
      <c r="I9">
        <v>2.27</v>
      </c>
      <c r="J9">
        <v>1.92</v>
      </c>
      <c r="K9">
        <v>5.8170000000000002</v>
      </c>
      <c r="L9" s="5">
        <v>2.1960000000000002</v>
      </c>
      <c r="M9">
        <v>5.7279999999999998</v>
      </c>
      <c r="N9">
        <v>3.0670000000000002</v>
      </c>
      <c r="O9">
        <v>6.165</v>
      </c>
      <c r="P9">
        <v>7.0019999999999998</v>
      </c>
      <c r="Q9" s="5">
        <v>5.1829999999999998</v>
      </c>
      <c r="R9">
        <v>7.8150000000000004</v>
      </c>
      <c r="S9">
        <v>6.593</v>
      </c>
      <c r="T9">
        <v>7.8010000000000002</v>
      </c>
      <c r="U9">
        <v>10.377000000000001</v>
      </c>
      <c r="V9" s="5">
        <v>5.0389999999999997</v>
      </c>
      <c r="W9">
        <v>9.3829999999999991</v>
      </c>
      <c r="X9">
        <v>5.34</v>
      </c>
      <c r="Y9">
        <v>8.5250000000000004</v>
      </c>
      <c r="Z9">
        <v>12.273</v>
      </c>
      <c r="AA9" s="5">
        <v>7.5709999999999997</v>
      </c>
      <c r="AB9">
        <v>11.869</v>
      </c>
      <c r="AC9">
        <v>7.7110000000000003</v>
      </c>
      <c r="AD9">
        <v>11.506</v>
      </c>
      <c r="AE9">
        <v>13.456</v>
      </c>
      <c r="AF9" s="5">
        <v>6.5229999999999997</v>
      </c>
      <c r="AG9">
        <v>10.958</v>
      </c>
      <c r="AH9">
        <v>7.43</v>
      </c>
      <c r="AI9">
        <v>12.388</v>
      </c>
      <c r="AJ9">
        <v>14.763999999999999</v>
      </c>
    </row>
    <row r="10" spans="1:36" customFormat="1" x14ac:dyDescent="0.45">
      <c r="A10" s="3">
        <v>8</v>
      </c>
      <c r="B10" s="5">
        <v>1.0469999999999999</v>
      </c>
      <c r="C10">
        <v>1.754</v>
      </c>
      <c r="D10">
        <v>1.089</v>
      </c>
      <c r="F10">
        <v>1.179</v>
      </c>
      <c r="G10" s="5">
        <v>2.206</v>
      </c>
      <c r="H10">
        <v>4.7229999999999999</v>
      </c>
      <c r="I10">
        <v>1.806</v>
      </c>
      <c r="J10">
        <v>2.9020000000000001</v>
      </c>
      <c r="K10">
        <v>3.8140000000000001</v>
      </c>
      <c r="L10" s="5">
        <v>2.8250000000000002</v>
      </c>
      <c r="M10">
        <v>6.5439999999999996</v>
      </c>
      <c r="N10">
        <v>3.1190000000000002</v>
      </c>
      <c r="O10">
        <v>5.9139999999999997</v>
      </c>
      <c r="P10">
        <v>8.8000000000000007</v>
      </c>
      <c r="Q10" s="5">
        <v>4.5999999999999996</v>
      </c>
      <c r="R10">
        <v>6.5289999999999999</v>
      </c>
      <c r="S10">
        <v>5.3129999999999997</v>
      </c>
      <c r="T10">
        <v>8.2560000000000002</v>
      </c>
      <c r="U10">
        <v>10.561</v>
      </c>
      <c r="V10" s="5">
        <v>5.23</v>
      </c>
      <c r="W10">
        <v>10.648999999999999</v>
      </c>
      <c r="X10">
        <v>6.4539999999999997</v>
      </c>
      <c r="Y10">
        <v>10.763</v>
      </c>
      <c r="Z10">
        <v>13.247</v>
      </c>
      <c r="AA10" s="5">
        <v>6.4210000000000003</v>
      </c>
      <c r="AB10">
        <v>9.5009999999999994</v>
      </c>
      <c r="AC10">
        <v>6.556</v>
      </c>
      <c r="AD10">
        <v>10.651999999999999</v>
      </c>
      <c r="AE10">
        <v>12.545999999999999</v>
      </c>
      <c r="AF10" s="5">
        <v>7.835</v>
      </c>
      <c r="AG10">
        <v>13.195</v>
      </c>
      <c r="AH10">
        <v>6.2080000000000002</v>
      </c>
      <c r="AI10">
        <v>10.646000000000001</v>
      </c>
      <c r="AJ10">
        <v>15.673</v>
      </c>
    </row>
    <row r="11" spans="1:36" customFormat="1" x14ac:dyDescent="0.45">
      <c r="A11" s="3">
        <v>9</v>
      </c>
      <c r="B11" s="5">
        <v>1.1819999999999999</v>
      </c>
      <c r="C11">
        <v>1.9239999999999999</v>
      </c>
      <c r="D11">
        <v>1.139</v>
      </c>
      <c r="F11">
        <v>1.798</v>
      </c>
      <c r="G11" s="5">
        <v>2.109</v>
      </c>
      <c r="H11">
        <v>3.3570000000000002</v>
      </c>
      <c r="I11">
        <v>2.016</v>
      </c>
      <c r="K11">
        <v>2.8740000000000001</v>
      </c>
      <c r="L11" s="5">
        <v>3.2650000000000001</v>
      </c>
      <c r="M11">
        <v>6.1459999999999999</v>
      </c>
      <c r="N11">
        <v>4.83</v>
      </c>
      <c r="O11">
        <v>4.9870000000000001</v>
      </c>
      <c r="P11">
        <v>8.8119999999999994</v>
      </c>
      <c r="Q11" s="5">
        <v>5.1849999999999996</v>
      </c>
      <c r="R11">
        <v>9.4209999999999994</v>
      </c>
      <c r="S11">
        <v>5.6349999999999998</v>
      </c>
      <c r="T11">
        <v>9.3339999999999996</v>
      </c>
      <c r="U11">
        <v>9.8409999999999993</v>
      </c>
      <c r="V11" s="5">
        <v>5.6429999999999998</v>
      </c>
      <c r="W11">
        <v>9.3979999999999997</v>
      </c>
      <c r="X11">
        <v>5.6749999999999998</v>
      </c>
      <c r="Z11">
        <v>13.332000000000001</v>
      </c>
      <c r="AA11" s="5">
        <v>5.5460000000000003</v>
      </c>
      <c r="AB11">
        <v>12.787000000000001</v>
      </c>
      <c r="AC11">
        <v>6.36</v>
      </c>
      <c r="AD11">
        <v>10.327999999999999</v>
      </c>
      <c r="AE11">
        <v>12.106</v>
      </c>
      <c r="AF11" s="5">
        <v>8.1120000000000001</v>
      </c>
      <c r="AG11">
        <v>11.571999999999999</v>
      </c>
      <c r="AH11">
        <v>7.9820000000000002</v>
      </c>
      <c r="AI11">
        <v>10.32</v>
      </c>
      <c r="AJ11">
        <v>13.75</v>
      </c>
    </row>
    <row r="12" spans="1:36" customFormat="1" x14ac:dyDescent="0.45">
      <c r="A12" s="3">
        <v>10</v>
      </c>
      <c r="B12" s="5">
        <v>1.296</v>
      </c>
      <c r="C12">
        <v>1.919</v>
      </c>
      <c r="D12">
        <v>1.0089999999999999</v>
      </c>
      <c r="F12">
        <v>1.337</v>
      </c>
      <c r="G12" s="5">
        <v>2.5129999999999999</v>
      </c>
      <c r="H12">
        <v>5.7729999999999997</v>
      </c>
      <c r="I12">
        <v>2.4470000000000001</v>
      </c>
      <c r="K12">
        <v>4.649</v>
      </c>
      <c r="L12" s="5">
        <v>4.0030000000000001</v>
      </c>
      <c r="M12">
        <v>7.1440000000000001</v>
      </c>
      <c r="N12">
        <v>3.9990000000000001</v>
      </c>
      <c r="P12">
        <v>7.5510000000000002</v>
      </c>
      <c r="Q12" s="5">
        <v>5.859</v>
      </c>
      <c r="R12">
        <v>7.9450000000000003</v>
      </c>
      <c r="S12">
        <v>6.17</v>
      </c>
      <c r="T12">
        <v>7.6109999999999998</v>
      </c>
      <c r="U12">
        <v>10.053000000000001</v>
      </c>
      <c r="V12" s="5">
        <v>5.8419999999999996</v>
      </c>
      <c r="W12">
        <v>10.438000000000001</v>
      </c>
      <c r="X12">
        <v>6.3289999999999997</v>
      </c>
      <c r="Y12">
        <v>8.57</v>
      </c>
      <c r="Z12">
        <v>11.324</v>
      </c>
      <c r="AA12" s="5">
        <v>5.484</v>
      </c>
      <c r="AB12">
        <v>12.114000000000001</v>
      </c>
      <c r="AC12">
        <v>5.681</v>
      </c>
      <c r="AD12">
        <v>11.085000000000001</v>
      </c>
      <c r="AE12">
        <v>15.141</v>
      </c>
      <c r="AF12" s="5">
        <v>7.4870000000000001</v>
      </c>
      <c r="AH12">
        <v>6.7919999999999998</v>
      </c>
      <c r="AI12">
        <v>10.488</v>
      </c>
      <c r="AJ12">
        <v>15.61</v>
      </c>
    </row>
    <row r="13" spans="1:36" customFormat="1" x14ac:dyDescent="0.45">
      <c r="A13" s="3">
        <v>11</v>
      </c>
      <c r="B13" s="5">
        <v>1.599</v>
      </c>
      <c r="C13">
        <v>2.2400000000000002</v>
      </c>
      <c r="D13">
        <v>1.0189999999999999</v>
      </c>
      <c r="F13">
        <v>1.6319999999999999</v>
      </c>
      <c r="G13" s="5">
        <v>2.3879999999999999</v>
      </c>
      <c r="H13">
        <v>3.67</v>
      </c>
      <c r="I13">
        <v>1.1639999999999999</v>
      </c>
      <c r="K13">
        <v>4.8019999999999996</v>
      </c>
      <c r="L13" s="5">
        <v>3.4489999999999998</v>
      </c>
      <c r="M13">
        <v>6.5380000000000003</v>
      </c>
      <c r="N13">
        <v>3.2570000000000001</v>
      </c>
      <c r="P13">
        <v>7.9889999999999999</v>
      </c>
      <c r="Q13" s="5">
        <v>4.5279999999999996</v>
      </c>
      <c r="R13">
        <v>9.4600000000000009</v>
      </c>
      <c r="S13">
        <v>5.8079999999999998</v>
      </c>
      <c r="U13">
        <v>11.18</v>
      </c>
      <c r="V13" s="5">
        <v>4.9080000000000004</v>
      </c>
      <c r="W13">
        <v>10.782</v>
      </c>
      <c r="X13">
        <v>6.8650000000000002</v>
      </c>
      <c r="Y13">
        <v>8.4749999999999996</v>
      </c>
      <c r="Z13">
        <v>13.54</v>
      </c>
      <c r="AA13" s="5">
        <v>5.8289999999999997</v>
      </c>
      <c r="AB13">
        <v>13.404</v>
      </c>
      <c r="AC13">
        <v>5.79</v>
      </c>
      <c r="AD13">
        <v>10.172000000000001</v>
      </c>
      <c r="AE13">
        <v>12.089</v>
      </c>
      <c r="AF13" s="5">
        <v>7.0149999999999997</v>
      </c>
      <c r="AG13">
        <v>12.327</v>
      </c>
      <c r="AH13">
        <v>5.71</v>
      </c>
      <c r="AI13">
        <v>12.17</v>
      </c>
      <c r="AJ13">
        <v>15.875999999999999</v>
      </c>
    </row>
    <row r="14" spans="1:36" customFormat="1" x14ac:dyDescent="0.45">
      <c r="A14" s="3">
        <v>12</v>
      </c>
      <c r="B14" s="5">
        <v>1.0580000000000001</v>
      </c>
      <c r="C14">
        <v>2.4580000000000002</v>
      </c>
      <c r="D14">
        <v>1.0509999999999999</v>
      </c>
      <c r="F14">
        <v>1.4259999999999999</v>
      </c>
      <c r="G14" s="5">
        <v>2.9009999999999998</v>
      </c>
      <c r="H14">
        <v>3.8820000000000001</v>
      </c>
      <c r="I14">
        <v>1.609</v>
      </c>
      <c r="K14">
        <v>4.5640000000000001</v>
      </c>
      <c r="L14" s="5">
        <v>3.202</v>
      </c>
      <c r="M14">
        <v>8.4469999999999992</v>
      </c>
      <c r="N14">
        <v>3.2160000000000002</v>
      </c>
      <c r="P14">
        <v>9.64</v>
      </c>
      <c r="Q14" s="5">
        <v>4.9580000000000002</v>
      </c>
      <c r="R14">
        <v>8.3490000000000002</v>
      </c>
      <c r="S14">
        <v>4.1360000000000001</v>
      </c>
      <c r="T14">
        <v>7.8440000000000003</v>
      </c>
      <c r="U14">
        <v>11.523999999999999</v>
      </c>
      <c r="V14" s="5">
        <v>5.2859999999999996</v>
      </c>
      <c r="W14">
        <v>10.163</v>
      </c>
      <c r="X14">
        <v>5.8869999999999996</v>
      </c>
      <c r="Y14">
        <v>9.9960000000000004</v>
      </c>
      <c r="Z14">
        <v>12.805</v>
      </c>
      <c r="AA14" s="5">
        <v>5.1669999999999998</v>
      </c>
      <c r="AB14">
        <v>10.37</v>
      </c>
      <c r="AC14">
        <v>7.3390000000000004</v>
      </c>
      <c r="AD14">
        <v>10.257999999999999</v>
      </c>
      <c r="AE14">
        <v>13.01</v>
      </c>
      <c r="AF14" s="5">
        <v>7.39</v>
      </c>
      <c r="AG14">
        <v>12.778</v>
      </c>
      <c r="AH14">
        <v>5.367</v>
      </c>
      <c r="AI14">
        <v>9.2880000000000003</v>
      </c>
      <c r="AJ14">
        <v>15.727</v>
      </c>
    </row>
    <row r="15" spans="1:36" customFormat="1" x14ac:dyDescent="0.45">
      <c r="A15" s="3">
        <v>13</v>
      </c>
      <c r="B15" s="5">
        <v>0.98099999999999998</v>
      </c>
      <c r="C15">
        <v>1.6830000000000001</v>
      </c>
      <c r="D15">
        <v>1.3839999999999999</v>
      </c>
      <c r="F15">
        <v>1.9770000000000001</v>
      </c>
      <c r="G15" s="5">
        <v>1.9319999999999999</v>
      </c>
      <c r="H15">
        <v>5.3810000000000002</v>
      </c>
      <c r="I15">
        <v>2.0169999999999999</v>
      </c>
      <c r="K15">
        <v>5.4560000000000004</v>
      </c>
      <c r="L15" s="5">
        <v>3.218</v>
      </c>
      <c r="M15">
        <v>8.1750000000000007</v>
      </c>
      <c r="N15">
        <v>3.5219999999999998</v>
      </c>
      <c r="P15">
        <v>6.5019999999999998</v>
      </c>
      <c r="Q15" s="5">
        <v>3.8130000000000002</v>
      </c>
      <c r="R15">
        <v>7.02</v>
      </c>
      <c r="S15">
        <v>4.4770000000000003</v>
      </c>
      <c r="T15">
        <v>7.5359999999999996</v>
      </c>
      <c r="U15">
        <v>10.672000000000001</v>
      </c>
      <c r="V15" s="5">
        <v>5.391</v>
      </c>
      <c r="W15">
        <v>9.6210000000000004</v>
      </c>
      <c r="Z15">
        <v>10.615</v>
      </c>
      <c r="AA15" s="5">
        <v>6.6349999999999998</v>
      </c>
      <c r="AC15">
        <v>6.556</v>
      </c>
      <c r="AD15">
        <v>11.247</v>
      </c>
      <c r="AE15">
        <v>13.375999999999999</v>
      </c>
      <c r="AF15" s="5">
        <v>5.0220000000000002</v>
      </c>
      <c r="AG15">
        <v>12.622999999999999</v>
      </c>
      <c r="AH15">
        <v>6.53</v>
      </c>
      <c r="AI15">
        <v>9.7880000000000003</v>
      </c>
      <c r="AJ15">
        <v>15.452</v>
      </c>
    </row>
    <row r="16" spans="1:36" customFormat="1" x14ac:dyDescent="0.45">
      <c r="A16" s="3">
        <v>14</v>
      </c>
      <c r="B16" s="5">
        <v>1.696</v>
      </c>
      <c r="C16">
        <v>2.141</v>
      </c>
      <c r="D16">
        <v>0.96399999999999997</v>
      </c>
      <c r="F16">
        <v>1.401</v>
      </c>
      <c r="G16" s="5">
        <v>2.754</v>
      </c>
      <c r="H16">
        <v>3.96</v>
      </c>
      <c r="I16">
        <v>1.742</v>
      </c>
      <c r="K16">
        <v>5.7130000000000001</v>
      </c>
      <c r="L16" s="5">
        <v>4.0090000000000003</v>
      </c>
      <c r="M16">
        <v>7.742</v>
      </c>
      <c r="N16">
        <v>3.0630000000000002</v>
      </c>
      <c r="P16">
        <v>9.2349999999999994</v>
      </c>
      <c r="Q16" s="5">
        <v>3.9940000000000002</v>
      </c>
      <c r="R16">
        <v>7.9820000000000002</v>
      </c>
      <c r="S16">
        <v>5.5369999999999999</v>
      </c>
      <c r="T16">
        <v>8.1590000000000007</v>
      </c>
      <c r="U16">
        <v>10.715999999999999</v>
      </c>
      <c r="V16" s="5">
        <v>5.72</v>
      </c>
      <c r="W16">
        <v>10.007999999999999</v>
      </c>
      <c r="X16">
        <v>6.4240000000000004</v>
      </c>
      <c r="Y16">
        <v>8.31</v>
      </c>
      <c r="Z16">
        <v>12.972</v>
      </c>
      <c r="AA16" s="5">
        <v>6.1349999999999998</v>
      </c>
      <c r="AB16">
        <v>10.952</v>
      </c>
      <c r="AC16">
        <v>6.1890000000000001</v>
      </c>
      <c r="AD16">
        <v>9.34</v>
      </c>
      <c r="AE16">
        <v>12.711</v>
      </c>
      <c r="AF16" s="5">
        <v>7.05</v>
      </c>
      <c r="AG16">
        <v>11.676</v>
      </c>
      <c r="AH16">
        <v>5.9329999999999998</v>
      </c>
      <c r="AI16">
        <v>11.917</v>
      </c>
      <c r="AJ16">
        <v>15.053000000000001</v>
      </c>
    </row>
    <row r="17" spans="1:36" customFormat="1" x14ac:dyDescent="0.45">
      <c r="A17" s="3">
        <v>15</v>
      </c>
      <c r="B17" s="5">
        <v>1.1319999999999999</v>
      </c>
      <c r="C17">
        <v>1.9850000000000001</v>
      </c>
      <c r="D17">
        <v>1.1739999999999999</v>
      </c>
      <c r="F17">
        <v>1.389</v>
      </c>
      <c r="G17" s="5">
        <v>2.5110000000000001</v>
      </c>
      <c r="H17">
        <v>4.4720000000000004</v>
      </c>
      <c r="I17">
        <v>2.4529999999999998</v>
      </c>
      <c r="K17">
        <v>3.7959999999999998</v>
      </c>
      <c r="L17" s="5">
        <v>3.6829999999999998</v>
      </c>
      <c r="M17">
        <v>6.6580000000000004</v>
      </c>
      <c r="N17">
        <v>3.4929999999999999</v>
      </c>
      <c r="P17">
        <v>8.3719999999999999</v>
      </c>
      <c r="Q17" s="5">
        <v>5.8570000000000002</v>
      </c>
      <c r="R17">
        <v>7.5839999999999996</v>
      </c>
      <c r="S17">
        <v>5.0449999999999999</v>
      </c>
      <c r="U17">
        <v>10.084</v>
      </c>
      <c r="V17" s="5">
        <v>5.415</v>
      </c>
      <c r="W17">
        <v>11.451000000000001</v>
      </c>
      <c r="Y17">
        <v>10.114000000000001</v>
      </c>
      <c r="Z17">
        <v>14.173999999999999</v>
      </c>
      <c r="AA17" s="5">
        <v>5.7060000000000004</v>
      </c>
      <c r="AB17">
        <v>11.391</v>
      </c>
      <c r="AC17">
        <v>7.1040000000000001</v>
      </c>
      <c r="AE17">
        <v>11.848000000000001</v>
      </c>
      <c r="AF17" s="5">
        <v>7.1559999999999997</v>
      </c>
      <c r="AG17">
        <v>12.615</v>
      </c>
      <c r="AH17">
        <v>6.556</v>
      </c>
      <c r="AJ17">
        <v>12.987</v>
      </c>
    </row>
    <row r="18" spans="1:36" customFormat="1" x14ac:dyDescent="0.45">
      <c r="A18" s="3">
        <v>16</v>
      </c>
      <c r="B18" s="5">
        <v>1.6</v>
      </c>
      <c r="C18">
        <v>1.8759999999999999</v>
      </c>
      <c r="D18">
        <v>0.94599999999999995</v>
      </c>
      <c r="F18">
        <v>1.2509999999999999</v>
      </c>
      <c r="G18" s="5">
        <v>1.365</v>
      </c>
      <c r="H18">
        <v>4.0609999999999999</v>
      </c>
      <c r="I18">
        <v>2.5099999999999998</v>
      </c>
      <c r="K18">
        <v>3.6659999999999999</v>
      </c>
      <c r="L18" s="5">
        <v>3.4529999999999998</v>
      </c>
      <c r="M18">
        <v>6.431</v>
      </c>
      <c r="N18">
        <v>3.895</v>
      </c>
      <c r="P18">
        <v>7.9219999999999997</v>
      </c>
      <c r="Q18" s="5">
        <v>6.3869999999999996</v>
      </c>
      <c r="R18">
        <v>8.8680000000000003</v>
      </c>
      <c r="S18">
        <v>4.5819999999999999</v>
      </c>
      <c r="U18">
        <v>9.4740000000000002</v>
      </c>
      <c r="V18" s="5">
        <v>6.2649999999999997</v>
      </c>
      <c r="W18">
        <v>10.481999999999999</v>
      </c>
      <c r="X18">
        <v>4.0410000000000004</v>
      </c>
      <c r="Z18">
        <v>12.125</v>
      </c>
      <c r="AA18" s="5">
        <v>6.085</v>
      </c>
      <c r="AB18">
        <v>10.611000000000001</v>
      </c>
      <c r="AC18">
        <v>5.3959999999999999</v>
      </c>
      <c r="AE18">
        <v>12.904</v>
      </c>
      <c r="AF18" s="5">
        <v>6.0419999999999998</v>
      </c>
      <c r="AG18">
        <v>11.481</v>
      </c>
      <c r="AH18">
        <v>7.5369999999999999</v>
      </c>
      <c r="AJ18">
        <v>15.568</v>
      </c>
    </row>
    <row r="19" spans="1:36" customFormat="1" x14ac:dyDescent="0.45">
      <c r="A19" s="3">
        <v>17</v>
      </c>
      <c r="B19" s="5">
        <v>0.95399999999999996</v>
      </c>
      <c r="C19">
        <v>1.9410000000000001</v>
      </c>
      <c r="D19">
        <v>1.012</v>
      </c>
      <c r="F19">
        <v>1.4179999999999999</v>
      </c>
      <c r="G19" s="5">
        <v>1.5980000000000001</v>
      </c>
      <c r="H19">
        <v>4.4690000000000003</v>
      </c>
      <c r="I19">
        <v>2.048</v>
      </c>
      <c r="K19">
        <v>4.5339999999999998</v>
      </c>
      <c r="L19" s="5">
        <v>3.5209999999999999</v>
      </c>
      <c r="M19">
        <v>6.952</v>
      </c>
      <c r="N19">
        <v>3.972</v>
      </c>
      <c r="P19">
        <v>7.9459999999999997</v>
      </c>
      <c r="Q19" s="5">
        <v>5.5359999999999996</v>
      </c>
      <c r="R19">
        <v>8.3219999999999992</v>
      </c>
      <c r="S19">
        <v>4.1719999999999997</v>
      </c>
      <c r="U19">
        <v>10.532999999999999</v>
      </c>
      <c r="V19" s="5">
        <v>4.9459999999999997</v>
      </c>
      <c r="W19">
        <v>8.8480000000000008</v>
      </c>
      <c r="X19">
        <v>5.6260000000000003</v>
      </c>
      <c r="Z19">
        <v>12.452</v>
      </c>
      <c r="AA19" s="5">
        <v>6.476</v>
      </c>
      <c r="AB19">
        <v>11.736000000000001</v>
      </c>
      <c r="AC19">
        <v>7.3810000000000002</v>
      </c>
      <c r="AE19">
        <v>14.49</v>
      </c>
      <c r="AF19" s="5">
        <v>6.6580000000000004</v>
      </c>
      <c r="AG19">
        <v>10.898</v>
      </c>
      <c r="AH19">
        <v>6.931</v>
      </c>
      <c r="AJ19">
        <v>15.54</v>
      </c>
    </row>
    <row r="20" spans="1:36" customFormat="1" x14ac:dyDescent="0.45">
      <c r="A20" s="3">
        <v>18</v>
      </c>
      <c r="B20" s="5">
        <v>1.131</v>
      </c>
      <c r="C20">
        <v>1.9970000000000001</v>
      </c>
      <c r="D20">
        <v>1.071</v>
      </c>
      <c r="F20">
        <v>1.5309999999999999</v>
      </c>
      <c r="G20" s="5">
        <v>2.347</v>
      </c>
      <c r="H20">
        <v>4.9649999999999999</v>
      </c>
      <c r="I20">
        <v>2.4540000000000002</v>
      </c>
      <c r="K20">
        <v>4.1470000000000002</v>
      </c>
      <c r="L20" s="5">
        <v>3.778</v>
      </c>
      <c r="M20">
        <v>7.7859999999999996</v>
      </c>
      <c r="N20">
        <v>3.74</v>
      </c>
      <c r="P20">
        <v>9.7859999999999996</v>
      </c>
      <c r="Q20" s="5">
        <v>5.7839999999999998</v>
      </c>
      <c r="R20">
        <v>7.1239999999999997</v>
      </c>
      <c r="S20">
        <v>4.1719999999999997</v>
      </c>
      <c r="U20">
        <v>11.042</v>
      </c>
      <c r="V20" s="5">
        <v>6.3</v>
      </c>
      <c r="W20">
        <v>9.6839999999999993</v>
      </c>
      <c r="X20">
        <v>6.7229999999999999</v>
      </c>
      <c r="Z20">
        <v>12.797000000000001</v>
      </c>
      <c r="AA20" s="5">
        <v>7.1639999999999997</v>
      </c>
      <c r="AB20">
        <v>12.242000000000001</v>
      </c>
      <c r="AC20">
        <v>6.9080000000000004</v>
      </c>
      <c r="AE20">
        <v>14.904999999999999</v>
      </c>
      <c r="AF20" s="5">
        <v>7.0430000000000001</v>
      </c>
      <c r="AG20">
        <v>14.193</v>
      </c>
      <c r="AH20">
        <v>9.4039999999999999</v>
      </c>
      <c r="AJ20">
        <v>14.542999999999999</v>
      </c>
    </row>
    <row r="21" spans="1:36" customFormat="1" x14ac:dyDescent="0.45">
      <c r="A21" s="3">
        <v>19</v>
      </c>
      <c r="B21" s="5">
        <v>0.99199999999999999</v>
      </c>
      <c r="C21">
        <v>1.952</v>
      </c>
      <c r="D21">
        <v>1.028</v>
      </c>
      <c r="F21">
        <v>1.2669999999999999</v>
      </c>
      <c r="G21" s="5">
        <v>2.5299999999999998</v>
      </c>
      <c r="H21">
        <v>5.2709999999999999</v>
      </c>
      <c r="I21">
        <v>2.6749999999999998</v>
      </c>
      <c r="K21">
        <v>4.1859999999999999</v>
      </c>
      <c r="L21" s="5">
        <v>3.129</v>
      </c>
      <c r="M21">
        <v>6.1970000000000001</v>
      </c>
      <c r="N21">
        <v>3.9889999999999999</v>
      </c>
      <c r="P21">
        <v>8.4030000000000005</v>
      </c>
      <c r="Q21" s="5">
        <v>6.5570000000000004</v>
      </c>
      <c r="R21">
        <v>7.1280000000000001</v>
      </c>
      <c r="S21">
        <v>4.79</v>
      </c>
      <c r="U21">
        <v>11.236000000000001</v>
      </c>
      <c r="V21" s="5">
        <v>6.3369999999999997</v>
      </c>
      <c r="W21">
        <v>10.042</v>
      </c>
      <c r="X21">
        <v>5.4109999999999996</v>
      </c>
      <c r="Z21">
        <v>11.287000000000001</v>
      </c>
      <c r="AA21" s="5">
        <v>6.18</v>
      </c>
      <c r="AB21">
        <v>10.869</v>
      </c>
      <c r="AC21">
        <v>6.7210000000000001</v>
      </c>
      <c r="AE21">
        <v>13.294</v>
      </c>
      <c r="AF21" s="5">
        <v>6.4059999999999997</v>
      </c>
      <c r="AH21">
        <v>7.22</v>
      </c>
      <c r="AJ21">
        <v>16.018000000000001</v>
      </c>
    </row>
    <row r="22" spans="1:36" customFormat="1" x14ac:dyDescent="0.45">
      <c r="A22" s="3">
        <v>20</v>
      </c>
      <c r="B22" s="5"/>
      <c r="C22">
        <v>1.7070000000000001</v>
      </c>
      <c r="D22">
        <v>0.93200000000000005</v>
      </c>
      <c r="G22" s="5">
        <v>2.2970000000000002</v>
      </c>
      <c r="H22">
        <v>5.3680000000000003</v>
      </c>
      <c r="I22">
        <v>2.008</v>
      </c>
      <c r="K22">
        <v>4.7080000000000002</v>
      </c>
      <c r="L22" s="5">
        <v>3.1269999999999998</v>
      </c>
      <c r="M22">
        <v>5.5709999999999997</v>
      </c>
      <c r="N22">
        <v>4.0469999999999997</v>
      </c>
      <c r="P22">
        <v>7.6920000000000002</v>
      </c>
      <c r="Q22" s="5">
        <v>4.4690000000000003</v>
      </c>
      <c r="R22">
        <v>7.2450000000000001</v>
      </c>
      <c r="S22">
        <v>5.5629999999999997</v>
      </c>
      <c r="U22">
        <v>9.3670000000000009</v>
      </c>
      <c r="V22" s="5">
        <v>5.19</v>
      </c>
      <c r="W22">
        <v>8.5540000000000003</v>
      </c>
      <c r="X22">
        <v>5.1920000000000002</v>
      </c>
      <c r="Z22">
        <v>11.086</v>
      </c>
      <c r="AA22" s="5">
        <v>7.4379999999999997</v>
      </c>
      <c r="AB22">
        <v>10.044</v>
      </c>
      <c r="AC22">
        <v>6.1289999999999996</v>
      </c>
      <c r="AE22">
        <v>15.157999999999999</v>
      </c>
      <c r="AF22" s="5">
        <v>8.1419999999999995</v>
      </c>
      <c r="AG22">
        <v>11.872</v>
      </c>
      <c r="AH22">
        <v>6.4980000000000002</v>
      </c>
      <c r="AJ22">
        <v>15.308999999999999</v>
      </c>
    </row>
    <row r="23" spans="1:36" customFormat="1" x14ac:dyDescent="0.45">
      <c r="A23" s="3">
        <v>21</v>
      </c>
      <c r="B23" s="5"/>
      <c r="C23">
        <v>2.7770000000000001</v>
      </c>
      <c r="D23">
        <v>0.95299999999999996</v>
      </c>
      <c r="G23" s="5">
        <v>2.1269999999999998</v>
      </c>
      <c r="H23">
        <v>5.077</v>
      </c>
      <c r="I23">
        <v>1.8540000000000001</v>
      </c>
      <c r="K23">
        <v>5.2789999999999999</v>
      </c>
      <c r="L23" s="5">
        <v>3.911</v>
      </c>
      <c r="M23">
        <v>6.7949999999999999</v>
      </c>
      <c r="N23">
        <v>3.6349999999999998</v>
      </c>
      <c r="P23">
        <v>7.3289999999999997</v>
      </c>
      <c r="Q23" s="5">
        <v>4.391</v>
      </c>
      <c r="R23">
        <v>9.4649999999999999</v>
      </c>
      <c r="S23">
        <v>5.7919999999999998</v>
      </c>
      <c r="U23">
        <v>11.539</v>
      </c>
      <c r="V23" s="5">
        <v>6.0030000000000001</v>
      </c>
      <c r="W23">
        <v>9.9689999999999994</v>
      </c>
      <c r="X23">
        <v>6.5910000000000002</v>
      </c>
      <c r="Z23">
        <v>10.455</v>
      </c>
      <c r="AA23" s="5">
        <v>7.3280000000000003</v>
      </c>
      <c r="AB23">
        <v>9.0440000000000005</v>
      </c>
      <c r="AC23">
        <v>5.0739999999999998</v>
      </c>
      <c r="AE23">
        <v>13.226000000000001</v>
      </c>
      <c r="AF23" s="5">
        <v>6.4489999999999998</v>
      </c>
      <c r="AG23">
        <v>11.733000000000001</v>
      </c>
      <c r="AH23">
        <v>7.5869999999999997</v>
      </c>
      <c r="AJ23">
        <v>14.638</v>
      </c>
    </row>
    <row r="24" spans="1:36" customFormat="1" x14ac:dyDescent="0.45">
      <c r="A24" s="3">
        <v>22</v>
      </c>
      <c r="B24" s="5"/>
      <c r="C24">
        <v>1.88</v>
      </c>
      <c r="D24">
        <v>1.2689999999999999</v>
      </c>
      <c r="G24" s="5">
        <v>1.925</v>
      </c>
      <c r="H24">
        <v>5.319</v>
      </c>
      <c r="I24">
        <v>1.929</v>
      </c>
      <c r="K24">
        <v>4.6509999999999998</v>
      </c>
      <c r="L24" s="5">
        <v>4.524</v>
      </c>
      <c r="M24">
        <v>7.2329999999999997</v>
      </c>
      <c r="N24">
        <v>3.7250000000000001</v>
      </c>
      <c r="P24">
        <v>7.7350000000000003</v>
      </c>
      <c r="Q24" s="5">
        <v>5.1180000000000003</v>
      </c>
      <c r="R24">
        <v>7.2469999999999999</v>
      </c>
      <c r="S24">
        <v>4.9320000000000004</v>
      </c>
      <c r="U24">
        <v>9.4740000000000002</v>
      </c>
      <c r="V24" s="5">
        <v>5.8949999999999996</v>
      </c>
      <c r="W24">
        <v>11.464</v>
      </c>
      <c r="X24">
        <v>5.3780000000000001</v>
      </c>
      <c r="Z24">
        <v>11.106999999999999</v>
      </c>
      <c r="AA24" s="5">
        <v>8.4580000000000002</v>
      </c>
      <c r="AB24">
        <v>12.609</v>
      </c>
      <c r="AC24">
        <v>5.4379999999999997</v>
      </c>
      <c r="AE24">
        <v>13.012</v>
      </c>
      <c r="AF24" s="5">
        <v>7.7140000000000004</v>
      </c>
      <c r="AG24">
        <v>13.619</v>
      </c>
      <c r="AH24">
        <v>7.0149999999999997</v>
      </c>
      <c r="AJ24">
        <v>14.53</v>
      </c>
    </row>
    <row r="25" spans="1:36" customFormat="1" x14ac:dyDescent="0.45">
      <c r="A25" s="3">
        <v>23</v>
      </c>
      <c r="B25" s="5"/>
      <c r="C25">
        <v>2.3090000000000002</v>
      </c>
      <c r="D25">
        <v>1.079</v>
      </c>
      <c r="G25" s="5">
        <v>2.7450000000000001</v>
      </c>
      <c r="H25">
        <v>4.8620000000000001</v>
      </c>
      <c r="I25">
        <v>2.1859999999999999</v>
      </c>
      <c r="K25">
        <v>3.1360000000000001</v>
      </c>
      <c r="L25" s="5">
        <v>3.4260000000000002</v>
      </c>
      <c r="M25">
        <v>6.1059999999999999</v>
      </c>
      <c r="N25">
        <v>3.9870000000000001</v>
      </c>
      <c r="P25">
        <v>7.1029999999999998</v>
      </c>
      <c r="Q25" s="5">
        <v>4.5350000000000001</v>
      </c>
      <c r="R25">
        <v>7.8879999999999999</v>
      </c>
      <c r="S25">
        <v>4.194</v>
      </c>
      <c r="U25">
        <v>11.242000000000001</v>
      </c>
      <c r="V25" s="5">
        <v>5.87</v>
      </c>
      <c r="W25">
        <v>10.895</v>
      </c>
      <c r="X25">
        <v>5.5289999999999999</v>
      </c>
      <c r="Z25">
        <v>11.725</v>
      </c>
      <c r="AA25" s="5">
        <v>7.234</v>
      </c>
      <c r="AB25">
        <v>11.446</v>
      </c>
      <c r="AC25">
        <v>4.76</v>
      </c>
      <c r="AE25">
        <v>13.144</v>
      </c>
      <c r="AF25" s="5">
        <v>7.8440000000000003</v>
      </c>
      <c r="AG25">
        <v>12.972</v>
      </c>
      <c r="AH25">
        <v>7.3120000000000003</v>
      </c>
      <c r="AJ25">
        <v>15.824</v>
      </c>
    </row>
    <row r="26" spans="1:36" customFormat="1" x14ac:dyDescent="0.45">
      <c r="A26" s="3">
        <v>24</v>
      </c>
      <c r="B26" s="5"/>
      <c r="C26">
        <v>2.2599999999999998</v>
      </c>
      <c r="D26">
        <v>1.208</v>
      </c>
      <c r="G26" s="5">
        <v>2.44</v>
      </c>
      <c r="H26">
        <v>4.4320000000000004</v>
      </c>
      <c r="I26">
        <v>1.921</v>
      </c>
      <c r="K26">
        <v>4.7750000000000004</v>
      </c>
      <c r="L26" s="5">
        <v>3.55</v>
      </c>
      <c r="M26">
        <v>6.4859999999999998</v>
      </c>
      <c r="N26">
        <v>3.835</v>
      </c>
      <c r="P26">
        <v>7.9779999999999998</v>
      </c>
      <c r="Q26" s="5">
        <v>4.7069999999999999</v>
      </c>
      <c r="R26">
        <v>7.6420000000000003</v>
      </c>
      <c r="S26">
        <v>5.6449999999999996</v>
      </c>
      <c r="U26">
        <v>9.5660000000000007</v>
      </c>
      <c r="V26" s="5">
        <v>5.7629999999999999</v>
      </c>
      <c r="W26">
        <v>9.9480000000000004</v>
      </c>
      <c r="X26">
        <v>6.1669999999999998</v>
      </c>
      <c r="Z26">
        <v>12.757</v>
      </c>
      <c r="AA26" s="5">
        <v>7.8479999999999999</v>
      </c>
      <c r="AB26">
        <v>11.288</v>
      </c>
      <c r="AC26">
        <v>5.8019999999999996</v>
      </c>
      <c r="AE26">
        <v>12.266</v>
      </c>
      <c r="AF26" s="5">
        <v>5.883</v>
      </c>
      <c r="AG26">
        <v>13.178000000000001</v>
      </c>
      <c r="AH26">
        <v>7.8940000000000001</v>
      </c>
      <c r="AJ26">
        <v>13.666</v>
      </c>
    </row>
    <row r="27" spans="1:36" customFormat="1" x14ac:dyDescent="0.45">
      <c r="A27" s="3">
        <v>25</v>
      </c>
      <c r="B27" s="5"/>
      <c r="C27">
        <v>3.01</v>
      </c>
      <c r="D27">
        <v>1.004</v>
      </c>
      <c r="G27" s="5">
        <v>1.861</v>
      </c>
      <c r="H27">
        <v>5.9649999999999999</v>
      </c>
      <c r="I27">
        <v>1.869</v>
      </c>
      <c r="K27">
        <v>3.8730000000000002</v>
      </c>
      <c r="L27" s="5">
        <v>3.73</v>
      </c>
      <c r="M27">
        <v>6.6529999999999996</v>
      </c>
      <c r="N27">
        <v>3.4540000000000002</v>
      </c>
      <c r="P27">
        <v>8.8369999999999997</v>
      </c>
      <c r="Q27" s="5">
        <v>6.274</v>
      </c>
      <c r="R27">
        <v>8.39</v>
      </c>
      <c r="S27">
        <v>5.3339999999999996</v>
      </c>
      <c r="U27">
        <v>10.984999999999999</v>
      </c>
      <c r="V27" s="5">
        <v>5.2869999999999999</v>
      </c>
      <c r="W27">
        <v>10.446</v>
      </c>
      <c r="X27">
        <v>4.6909999999999998</v>
      </c>
      <c r="Z27">
        <v>12.465</v>
      </c>
      <c r="AA27" s="5">
        <v>8.3919999999999995</v>
      </c>
      <c r="AB27">
        <v>11.946999999999999</v>
      </c>
      <c r="AC27">
        <v>6.29</v>
      </c>
      <c r="AE27">
        <v>13.959</v>
      </c>
      <c r="AF27" s="5">
        <v>7.274</v>
      </c>
      <c r="AH27">
        <v>7.1840000000000002</v>
      </c>
      <c r="AJ27">
        <v>14.208</v>
      </c>
    </row>
    <row r="28" spans="1:36" customFormat="1" x14ac:dyDescent="0.45">
      <c r="A28" s="3">
        <v>26</v>
      </c>
      <c r="B28" s="5"/>
      <c r="C28">
        <v>1.621</v>
      </c>
      <c r="D28">
        <v>1.071</v>
      </c>
      <c r="G28" s="5">
        <v>2.3679999999999999</v>
      </c>
      <c r="H28">
        <v>4.4400000000000004</v>
      </c>
      <c r="I28">
        <v>2.3239999999999998</v>
      </c>
      <c r="K28">
        <v>4.9509999999999996</v>
      </c>
      <c r="L28" s="5">
        <v>4.0970000000000004</v>
      </c>
      <c r="M28">
        <v>6.9459999999999997</v>
      </c>
      <c r="N28">
        <v>3.5230000000000001</v>
      </c>
      <c r="P28">
        <v>7.8280000000000003</v>
      </c>
      <c r="Q28" s="5">
        <v>4.0259999999999998</v>
      </c>
      <c r="R28">
        <v>10.288</v>
      </c>
      <c r="S28">
        <v>5.0110000000000001</v>
      </c>
      <c r="U28">
        <v>11.087999999999999</v>
      </c>
      <c r="V28" s="5">
        <v>6.21</v>
      </c>
      <c r="W28">
        <v>12.816000000000001</v>
      </c>
      <c r="X28">
        <v>5.673</v>
      </c>
      <c r="Z28">
        <v>12.087999999999999</v>
      </c>
      <c r="AA28" s="5">
        <v>7.8840000000000003</v>
      </c>
      <c r="AB28">
        <v>10.5</v>
      </c>
      <c r="AC28">
        <v>7.242</v>
      </c>
      <c r="AF28" s="5">
        <v>7.2510000000000003</v>
      </c>
      <c r="AG28">
        <v>12.254</v>
      </c>
      <c r="AH28">
        <v>4.524</v>
      </c>
      <c r="AJ28">
        <v>14.118</v>
      </c>
    </row>
    <row r="29" spans="1:36" customFormat="1" x14ac:dyDescent="0.45">
      <c r="A29" s="3">
        <v>27</v>
      </c>
      <c r="B29" s="5"/>
      <c r="D29">
        <v>0.99099999999999999</v>
      </c>
      <c r="G29" s="5">
        <v>2.4359999999999999</v>
      </c>
      <c r="H29">
        <v>4.5789999999999997</v>
      </c>
      <c r="I29">
        <v>1.9470000000000001</v>
      </c>
      <c r="K29">
        <v>3.8079999999999998</v>
      </c>
      <c r="L29" s="5">
        <v>3.8519999999999999</v>
      </c>
      <c r="M29">
        <v>6.6040000000000001</v>
      </c>
      <c r="N29">
        <v>3.9849999999999999</v>
      </c>
      <c r="P29">
        <v>8.6389999999999993</v>
      </c>
      <c r="Q29" s="5">
        <v>4.3540000000000001</v>
      </c>
      <c r="R29">
        <v>7.9809999999999999</v>
      </c>
      <c r="S29">
        <v>5.2450000000000001</v>
      </c>
      <c r="V29" s="5"/>
      <c r="X29">
        <v>5.6239999999999997</v>
      </c>
      <c r="Z29">
        <v>10.644</v>
      </c>
      <c r="AA29" s="5">
        <v>7.0060000000000002</v>
      </c>
      <c r="AC29">
        <v>7.0339999999999998</v>
      </c>
      <c r="AF29" s="5">
        <v>8.7579999999999991</v>
      </c>
      <c r="AH29">
        <v>6.4180000000000001</v>
      </c>
      <c r="AJ29">
        <v>15.396000000000001</v>
      </c>
    </row>
    <row r="30" spans="1:36" customFormat="1" x14ac:dyDescent="0.45">
      <c r="A30" s="3"/>
      <c r="B30" s="5"/>
      <c r="G30" s="5">
        <v>2.0539999999999998</v>
      </c>
      <c r="H30">
        <v>4.0209999999999999</v>
      </c>
      <c r="I30">
        <v>2.0059999999999998</v>
      </c>
      <c r="K30">
        <v>3.673</v>
      </c>
      <c r="L30" s="5">
        <v>2.7</v>
      </c>
      <c r="M30">
        <v>6.6029999999999998</v>
      </c>
      <c r="N30">
        <v>4.625</v>
      </c>
      <c r="P30">
        <v>7.524</v>
      </c>
      <c r="Q30" s="5">
        <v>3.6920000000000002</v>
      </c>
      <c r="S30">
        <v>5.2089999999999996</v>
      </c>
      <c r="V30" s="5"/>
      <c r="X30">
        <v>5.4550000000000001</v>
      </c>
      <c r="Z30">
        <v>12.292</v>
      </c>
      <c r="AA30" s="5">
        <v>6.734</v>
      </c>
      <c r="AC30">
        <v>4.9930000000000003</v>
      </c>
      <c r="AF30" s="5">
        <v>7.7510000000000003</v>
      </c>
      <c r="AH30">
        <v>7.7759999999999998</v>
      </c>
      <c r="AJ30">
        <v>15.473000000000001</v>
      </c>
    </row>
    <row r="31" spans="1:36" customFormat="1" x14ac:dyDescent="0.45">
      <c r="A31" s="3"/>
      <c r="B31" s="5"/>
      <c r="G31" s="5">
        <v>1.7310000000000001</v>
      </c>
      <c r="H31">
        <v>5.0590000000000002</v>
      </c>
      <c r="I31">
        <v>2.2709999999999999</v>
      </c>
      <c r="K31">
        <v>4.0979999999999999</v>
      </c>
      <c r="L31" s="5">
        <v>3.766</v>
      </c>
      <c r="M31">
        <v>6.0119999999999996</v>
      </c>
      <c r="N31">
        <v>3.0030000000000001</v>
      </c>
      <c r="P31">
        <v>7.3090000000000002</v>
      </c>
      <c r="Q31" s="5"/>
      <c r="V31" s="5"/>
      <c r="X31">
        <v>5.0730000000000004</v>
      </c>
      <c r="Z31">
        <v>10.621</v>
      </c>
      <c r="AA31" s="5">
        <v>7.8170000000000002</v>
      </c>
      <c r="AC31">
        <v>5.9119999999999999</v>
      </c>
      <c r="AF31" s="5">
        <v>8.0960000000000001</v>
      </c>
      <c r="AH31">
        <v>6.8719999999999999</v>
      </c>
      <c r="AJ31">
        <v>14.446</v>
      </c>
    </row>
    <row r="32" spans="1:36" customFormat="1" x14ac:dyDescent="0.45">
      <c r="A32" s="3"/>
      <c r="B32" s="5"/>
      <c r="G32" s="5">
        <v>2.3679999999999999</v>
      </c>
      <c r="H32">
        <v>3.964</v>
      </c>
      <c r="I32">
        <v>2.0489999999999999</v>
      </c>
      <c r="K32">
        <v>4.6820000000000004</v>
      </c>
      <c r="L32" s="5">
        <v>3.399</v>
      </c>
      <c r="M32">
        <v>6.43</v>
      </c>
      <c r="N32">
        <v>3.657</v>
      </c>
      <c r="P32">
        <v>8.7710000000000008</v>
      </c>
      <c r="Q32" s="5"/>
      <c r="V32" s="5"/>
      <c r="X32">
        <v>5.6139999999999999</v>
      </c>
      <c r="Z32">
        <v>9.1379999999999999</v>
      </c>
      <c r="AA32" s="5">
        <v>6.1310000000000002</v>
      </c>
      <c r="AC32">
        <v>5.8529999999999998</v>
      </c>
      <c r="AF32" s="5">
        <v>7.1449999999999996</v>
      </c>
      <c r="AH32">
        <v>6.5030000000000001</v>
      </c>
      <c r="AJ32">
        <v>15.587</v>
      </c>
    </row>
    <row r="33" spans="1:39" customFormat="1" x14ac:dyDescent="0.45">
      <c r="A33" s="3"/>
      <c r="B33" s="5"/>
      <c r="G33" s="5">
        <v>1.712</v>
      </c>
      <c r="K33">
        <v>3.7050000000000001</v>
      </c>
      <c r="L33" s="5"/>
      <c r="M33">
        <v>6.6980000000000004</v>
      </c>
      <c r="N33">
        <v>3.9060000000000001</v>
      </c>
      <c r="P33">
        <v>7.2380000000000004</v>
      </c>
      <c r="Q33" s="5"/>
      <c r="V33" s="5"/>
      <c r="X33">
        <v>5.8209999999999997</v>
      </c>
      <c r="Z33">
        <v>11.531000000000001</v>
      </c>
      <c r="AA33" s="5">
        <v>6.0970000000000004</v>
      </c>
      <c r="AC33">
        <v>6.2960000000000003</v>
      </c>
      <c r="AF33" s="5">
        <v>7.1040000000000001</v>
      </c>
      <c r="AH33">
        <v>6.2389999999999999</v>
      </c>
      <c r="AJ33">
        <v>14.8</v>
      </c>
    </row>
    <row r="34" spans="1:39" customFormat="1" x14ac:dyDescent="0.45">
      <c r="A34" s="3"/>
      <c r="B34" s="5"/>
      <c r="G34" s="5"/>
      <c r="L34" s="5"/>
      <c r="M34">
        <v>7.02</v>
      </c>
      <c r="N34">
        <v>2.9430000000000001</v>
      </c>
      <c r="P34">
        <v>7.8129999999999997</v>
      </c>
      <c r="Q34" s="5"/>
      <c r="V34" s="5"/>
      <c r="X34">
        <v>6.36</v>
      </c>
      <c r="Z34">
        <v>10.86</v>
      </c>
      <c r="AA34" s="5">
        <v>6.86</v>
      </c>
      <c r="AF34" s="5">
        <v>4.7709999999999999</v>
      </c>
      <c r="AH34">
        <v>6.415</v>
      </c>
      <c r="AJ34">
        <v>15.06</v>
      </c>
    </row>
    <row r="35" spans="1:39" customFormat="1" x14ac:dyDescent="0.45">
      <c r="A35" s="3"/>
      <c r="B35" s="5"/>
      <c r="G35" s="5"/>
      <c r="L35" s="5"/>
      <c r="N35">
        <v>3.8439999999999999</v>
      </c>
      <c r="Q35" s="5"/>
      <c r="V35" s="5"/>
      <c r="X35">
        <v>6.5830000000000002</v>
      </c>
      <c r="AA35" s="5"/>
      <c r="AF35" s="5"/>
      <c r="AH35">
        <v>4.931</v>
      </c>
      <c r="AJ35">
        <v>16.762</v>
      </c>
    </row>
    <row r="36" spans="1:39" customFormat="1" x14ac:dyDescent="0.45">
      <c r="B36" s="5"/>
      <c r="G36" s="5"/>
      <c r="L36" s="5"/>
      <c r="N36">
        <v>3.8759999999999999</v>
      </c>
      <c r="Q36" s="5"/>
      <c r="V36" s="5"/>
      <c r="AA36" s="5"/>
      <c r="AF36" s="5"/>
    </row>
    <row r="37" spans="1:39" customFormat="1" x14ac:dyDescent="0.45">
      <c r="B37" s="5"/>
      <c r="G37" s="5"/>
      <c r="L37" s="5"/>
      <c r="N37">
        <v>4.0739999999999998</v>
      </c>
      <c r="Q37" s="5"/>
      <c r="V37" s="5"/>
      <c r="AA37" s="5"/>
      <c r="AF37" s="5"/>
    </row>
    <row r="38" spans="1:39" customFormat="1" x14ac:dyDescent="0.45">
      <c r="B38" s="5"/>
      <c r="G38" s="5"/>
      <c r="L38" s="5"/>
      <c r="N38">
        <v>4.2190000000000003</v>
      </c>
      <c r="Q38" s="5"/>
      <c r="V38" s="5"/>
      <c r="AA38" s="5"/>
      <c r="AF38" s="5"/>
    </row>
    <row r="39" spans="1:39" customFormat="1" x14ac:dyDescent="0.45">
      <c r="B39" s="5"/>
      <c r="G39" s="5"/>
      <c r="L39" s="5"/>
      <c r="N39">
        <v>3.4569999999999999</v>
      </c>
      <c r="Q39" s="5"/>
      <c r="V39" s="5"/>
      <c r="AA39" s="5"/>
      <c r="AF39" s="5"/>
    </row>
    <row r="40" spans="1:39" customFormat="1" x14ac:dyDescent="0.45">
      <c r="B40" s="5"/>
      <c r="G40" s="5"/>
      <c r="L40" s="5"/>
      <c r="N40">
        <v>4.6289999999999996</v>
      </c>
      <c r="Q40" s="5"/>
      <c r="V40" s="5"/>
      <c r="AA40" s="5"/>
      <c r="AF40" s="5"/>
    </row>
    <row r="41" spans="1:39" customFormat="1" x14ac:dyDescent="0.45">
      <c r="B41" s="5"/>
      <c r="G41" s="5"/>
      <c r="L41" s="5"/>
      <c r="Q41" s="5"/>
      <c r="V41" s="5"/>
      <c r="AA41" s="5"/>
      <c r="AF41" s="5"/>
    </row>
    <row r="42" spans="1:39" customFormat="1" x14ac:dyDescent="0.45">
      <c r="B42" s="5"/>
      <c r="G42" s="5"/>
      <c r="L42" s="5"/>
      <c r="Q42" s="5"/>
      <c r="V42" s="5"/>
      <c r="AA42" s="5"/>
      <c r="AF42" s="5"/>
    </row>
    <row r="43" spans="1:39" customFormat="1" x14ac:dyDescent="0.45">
      <c r="B43" s="5"/>
      <c r="G43" s="5"/>
      <c r="L43" s="5"/>
      <c r="Q43" s="5"/>
      <c r="V43" s="5"/>
      <c r="AA43" s="5"/>
      <c r="AF43" s="5"/>
    </row>
    <row r="44" spans="1:39" customFormat="1" x14ac:dyDescent="0.45">
      <c r="B44" s="5"/>
      <c r="G44" s="5"/>
      <c r="L44" s="5"/>
      <c r="Q44" s="5"/>
      <c r="V44" s="5"/>
      <c r="AA44" s="5"/>
      <c r="AF44" s="5"/>
    </row>
    <row r="45" spans="1:39" customFormat="1" x14ac:dyDescent="0.45">
      <c r="A45" s="3" t="s">
        <v>9</v>
      </c>
      <c r="B45" s="5">
        <f>AVERAGE(B3:B44)</f>
        <v>1.2070000000000001</v>
      </c>
      <c r="C45" s="3">
        <f t="shared" ref="C45:AJ45" si="0">AVERAGE(C3:C44)</f>
        <v>2.0815384615384613</v>
      </c>
      <c r="D45" s="3">
        <f t="shared" si="0"/>
        <v>1.0740000000000001</v>
      </c>
      <c r="E45" s="3">
        <f t="shared" si="0"/>
        <v>0.91866666666666674</v>
      </c>
      <c r="F45" s="3">
        <f t="shared" si="0"/>
        <v>1.3730526315789473</v>
      </c>
      <c r="G45" s="5">
        <f t="shared" si="0"/>
        <v>2.1294516129032255</v>
      </c>
      <c r="H45" s="3">
        <f t="shared" si="0"/>
        <v>4.6127333333333329</v>
      </c>
      <c r="I45" s="3">
        <f t="shared" si="0"/>
        <v>2.0519333333333334</v>
      </c>
      <c r="J45" s="3">
        <f t="shared" si="0"/>
        <v>2.5227500000000003</v>
      </c>
      <c r="K45" s="3">
        <f t="shared" si="0"/>
        <v>4.2712903225806462</v>
      </c>
      <c r="L45" s="5">
        <f t="shared" si="0"/>
        <v>3.4205000000000001</v>
      </c>
      <c r="M45" s="3">
        <f t="shared" si="0"/>
        <v>6.7185937500000001</v>
      </c>
      <c r="N45" s="3">
        <f t="shared" si="0"/>
        <v>3.7800263157894727</v>
      </c>
      <c r="O45" s="3">
        <f t="shared" si="0"/>
        <v>5.5025555555555563</v>
      </c>
      <c r="P45" s="3">
        <f t="shared" si="0"/>
        <v>7.9547812500000017</v>
      </c>
      <c r="Q45" s="5">
        <f t="shared" si="0"/>
        <v>4.8723928571428576</v>
      </c>
      <c r="R45" s="3">
        <f t="shared" si="0"/>
        <v>8.233629629629629</v>
      </c>
      <c r="S45" s="3">
        <f t="shared" si="0"/>
        <v>5.1452142857142862</v>
      </c>
      <c r="T45" s="3">
        <f t="shared" si="0"/>
        <v>7.7306153846153851</v>
      </c>
      <c r="U45" s="3">
        <f t="shared" si="0"/>
        <v>10.580269230769229</v>
      </c>
      <c r="V45" s="5">
        <f t="shared" si="0"/>
        <v>5.5598461538461557</v>
      </c>
      <c r="W45" s="3">
        <f t="shared" si="0"/>
        <v>10.057461538461537</v>
      </c>
      <c r="X45" s="3">
        <f t="shared" si="0"/>
        <v>5.6819032258064528</v>
      </c>
      <c r="Y45" s="3">
        <f t="shared" si="0"/>
        <v>9.295461538461538</v>
      </c>
      <c r="Z45" s="3">
        <f t="shared" si="0"/>
        <v>11.939125000000001</v>
      </c>
      <c r="AA45" s="5">
        <f t="shared" si="0"/>
        <v>6.639156250000001</v>
      </c>
      <c r="AB45" s="3">
        <f t="shared" si="0"/>
        <v>11.515000000000001</v>
      </c>
      <c r="AC45" s="3">
        <f t="shared" si="0"/>
        <v>6.3329677419354828</v>
      </c>
      <c r="AD45" s="3">
        <f t="shared" si="0"/>
        <v>10.275642857142858</v>
      </c>
      <c r="AE45" s="3">
        <f t="shared" si="0"/>
        <v>13.402040000000001</v>
      </c>
      <c r="AF45" s="5">
        <f t="shared" si="0"/>
        <v>7.0302187500000022</v>
      </c>
      <c r="AG45" s="3">
        <f t="shared" si="0"/>
        <v>12.294826086956522</v>
      </c>
      <c r="AH45" s="3">
        <f t="shared" si="0"/>
        <v>6.738696969696969</v>
      </c>
      <c r="AI45" s="3">
        <f t="shared" si="0"/>
        <v>11.21423076923077</v>
      </c>
      <c r="AJ45" s="3">
        <f t="shared" si="0"/>
        <v>14.935696969696973</v>
      </c>
      <c r="AK45" s="3"/>
      <c r="AL45" s="3"/>
      <c r="AM45" s="3"/>
    </row>
    <row r="46" spans="1:39" customFormat="1" x14ac:dyDescent="0.45">
      <c r="A46" s="3" t="s">
        <v>10</v>
      </c>
      <c r="B46" s="5">
        <f>STDEV(B3:B44)</f>
        <v>0.23451818219016074</v>
      </c>
      <c r="C46" s="3">
        <f t="shared" ref="C46:AJ46" si="1">STDEV(C3:C44)</f>
        <v>0.33613250134662587</v>
      </c>
      <c r="D46" s="3">
        <f t="shared" si="1"/>
        <v>0.12009003032981348</v>
      </c>
      <c r="E46" s="3">
        <f t="shared" si="1"/>
        <v>7.7674534651540356E-3</v>
      </c>
      <c r="F46" s="3">
        <f t="shared" si="1"/>
        <v>0.26161198445284728</v>
      </c>
      <c r="G46" s="5">
        <f t="shared" si="1"/>
        <v>0.40834200034690799</v>
      </c>
      <c r="H46" s="3">
        <f t="shared" si="1"/>
        <v>0.66705812874624615</v>
      </c>
      <c r="I46" s="3">
        <f t="shared" si="1"/>
        <v>0.33623605555839647</v>
      </c>
      <c r="J46" s="3">
        <f t="shared" si="1"/>
        <v>0.45840990702333467</v>
      </c>
      <c r="K46" s="3">
        <f t="shared" si="1"/>
        <v>0.76718803403721347</v>
      </c>
      <c r="L46" s="5">
        <f t="shared" si="1"/>
        <v>0.49678405424462069</v>
      </c>
      <c r="M46" s="3">
        <f t="shared" si="1"/>
        <v>0.66666255232265359</v>
      </c>
      <c r="N46" s="3">
        <f t="shared" si="1"/>
        <v>0.46995948570881074</v>
      </c>
      <c r="O46" s="3">
        <f t="shared" si="1"/>
        <v>0.55337670512750881</v>
      </c>
      <c r="P46" s="3">
        <f t="shared" si="1"/>
        <v>0.7951760500699443</v>
      </c>
      <c r="Q46" s="5">
        <f t="shared" si="1"/>
        <v>0.8043024278855806</v>
      </c>
      <c r="R46" s="3">
        <f t="shared" si="1"/>
        <v>1.0395891994935744</v>
      </c>
      <c r="S46" s="3">
        <f t="shared" si="1"/>
        <v>0.60237261491187655</v>
      </c>
      <c r="T46" s="3">
        <f t="shared" si="1"/>
        <v>0.88771744176300282</v>
      </c>
      <c r="U46" s="3">
        <f t="shared" si="1"/>
        <v>0.77270613082554496</v>
      </c>
      <c r="V46" s="5">
        <f t="shared" si="1"/>
        <v>0.4683652158141286</v>
      </c>
      <c r="W46" s="3">
        <f t="shared" si="1"/>
        <v>1.046376881654759</v>
      </c>
      <c r="X46" s="3">
        <f t="shared" si="1"/>
        <v>0.78545449071809947</v>
      </c>
      <c r="Y46" s="3">
        <f t="shared" si="1"/>
        <v>0.76703537677917399</v>
      </c>
      <c r="Z46" s="3">
        <f t="shared" si="1"/>
        <v>1.1212758502072824</v>
      </c>
      <c r="AA46" s="5">
        <f t="shared" si="1"/>
        <v>0.94192000582800373</v>
      </c>
      <c r="AB46" s="3">
        <f t="shared" si="1"/>
        <v>1.26604419869272</v>
      </c>
      <c r="AC46" s="3">
        <f t="shared" si="1"/>
        <v>0.80249658291571635</v>
      </c>
      <c r="AD46" s="3">
        <f t="shared" si="1"/>
        <v>0.6966903745725056</v>
      </c>
      <c r="AE46" s="3">
        <f t="shared" si="1"/>
        <v>1.0220927257348034</v>
      </c>
      <c r="AF46" s="5">
        <f t="shared" si="1"/>
        <v>0.8928865381220964</v>
      </c>
      <c r="AG46" s="3">
        <f t="shared" si="1"/>
        <v>0.86053279754590062</v>
      </c>
      <c r="AH46" s="3">
        <f t="shared" si="1"/>
        <v>1.0196218810436777</v>
      </c>
      <c r="AI46" s="3">
        <f t="shared" si="1"/>
        <v>1.3483092593964818</v>
      </c>
      <c r="AJ46" s="3">
        <f t="shared" si="1"/>
        <v>0.85872509006260578</v>
      </c>
      <c r="AK46" s="3"/>
      <c r="AL46" s="3"/>
      <c r="AM46" s="3"/>
    </row>
    <row r="47" spans="1:39" customFormat="1" x14ac:dyDescent="0.45">
      <c r="A47" s="3"/>
      <c r="B47" s="5"/>
      <c r="C47" s="3"/>
      <c r="D47" s="3"/>
      <c r="E47" s="3"/>
      <c r="F47" s="3"/>
      <c r="G47" s="7">
        <f>TTEST(G3:G44,B3:B44,2,2)</f>
        <v>8.1025226707144932E-12</v>
      </c>
      <c r="H47" s="6">
        <f t="shared" ref="H47:K47" si="2">TTEST(H3:H44,C3:C44,2,2)</f>
        <v>6.4525526773433208E-24</v>
      </c>
      <c r="I47" s="6">
        <f t="shared" si="2"/>
        <v>3.5211703166226654E-20</v>
      </c>
      <c r="J47" s="6">
        <f t="shared" si="2"/>
        <v>2.4058371481570497E-4</v>
      </c>
      <c r="K47" s="6">
        <f t="shared" si="2"/>
        <v>1.0318116432222963E-20</v>
      </c>
      <c r="L47" s="7">
        <f>TTEST(L3:L44,G3:G44,2,2)</f>
        <v>4.3935966151266166E-16</v>
      </c>
      <c r="M47" s="6">
        <f t="shared" ref="M47:P47" si="3">TTEST(M3:M44,H3:H44,2,2)</f>
        <v>3.0676060259289261E-18</v>
      </c>
      <c r="N47" s="6">
        <f t="shared" si="3"/>
        <v>8.6816378638514288E-26</v>
      </c>
      <c r="O47" s="6">
        <f t="shared" si="3"/>
        <v>4.3489787137170828E-9</v>
      </c>
      <c r="P47" s="6">
        <f t="shared" si="3"/>
        <v>6.0086049985568285E-27</v>
      </c>
      <c r="Q47" s="7">
        <f>TTEST(Q3:Q44,L3:L44,2,2)</f>
        <v>2.1993878909430705E-11</v>
      </c>
      <c r="R47" s="6">
        <f>TTEST(R3:R44,M3:M44,2,2)</f>
        <v>7.8612972256613599E-9</v>
      </c>
      <c r="S47" s="6">
        <f t="shared" ref="S47:AJ47" si="4">TTEST(S3:S44,N3:N44,2,2)</f>
        <v>2.7279744146063028E-15</v>
      </c>
      <c r="T47" s="6">
        <f t="shared" si="4"/>
        <v>1.751003289988576E-6</v>
      </c>
      <c r="U47" s="6">
        <f t="shared" si="4"/>
        <v>4.4875909540392993E-18</v>
      </c>
      <c r="V47" s="5">
        <f t="shared" si="4"/>
        <v>3.8163181731413239E-4</v>
      </c>
      <c r="W47" s="3">
        <f t="shared" si="4"/>
        <v>5.4851677642575989E-8</v>
      </c>
      <c r="X47" s="3">
        <f t="shared" si="4"/>
        <v>4.9891859057856541E-3</v>
      </c>
      <c r="Y47" s="3">
        <f t="shared" si="4"/>
        <v>6.7460182947331852E-5</v>
      </c>
      <c r="Z47" s="3">
        <f t="shared" si="4"/>
        <v>2.4671798660215988E-6</v>
      </c>
      <c r="AA47" s="7">
        <f t="shared" si="4"/>
        <v>1.8416009167224954E-6</v>
      </c>
      <c r="AB47" s="6">
        <f t="shared" si="4"/>
        <v>5.0799676287660814E-5</v>
      </c>
      <c r="AC47" s="6">
        <f t="shared" si="4"/>
        <v>2.0211019730964697E-3</v>
      </c>
      <c r="AD47" s="6">
        <f t="shared" si="4"/>
        <v>1.8568106395638591E-3</v>
      </c>
      <c r="AE47" s="6">
        <f t="shared" si="4"/>
        <v>4.675178288475535E-6</v>
      </c>
      <c r="AF47" s="5">
        <f t="shared" si="4"/>
        <v>9.3299184135858942E-2</v>
      </c>
      <c r="AG47" s="6">
        <f t="shared" si="4"/>
        <v>1.7846925126071046E-2</v>
      </c>
      <c r="AH47" s="3">
        <f t="shared" si="4"/>
        <v>8.3116262827170453E-2</v>
      </c>
      <c r="AI47" s="6">
        <f t="shared" si="4"/>
        <v>3.0238267993864833E-2</v>
      </c>
      <c r="AJ47" s="6">
        <f t="shared" si="4"/>
        <v>7.05164502317822E-8</v>
      </c>
      <c r="AK47" s="3"/>
      <c r="AL47" s="3"/>
      <c r="AM47" s="3"/>
    </row>
    <row r="48" spans="1:39" customFormat="1" x14ac:dyDescent="0.45">
      <c r="B48" s="5"/>
      <c r="G48" s="5"/>
      <c r="L48" s="5"/>
      <c r="Q48" s="5"/>
      <c r="V48" s="5"/>
      <c r="AA48" s="5"/>
      <c r="AF48" s="5"/>
    </row>
    <row r="49" spans="2:32" customFormat="1" x14ac:dyDescent="0.45">
      <c r="B49" s="5"/>
      <c r="G49" s="5"/>
      <c r="L49" s="5"/>
      <c r="Q49" s="5"/>
      <c r="V49" s="5"/>
      <c r="AA49" s="5"/>
      <c r="AF49" s="5"/>
    </row>
    <row r="50" spans="2:32" customFormat="1" x14ac:dyDescent="0.45">
      <c r="B50" s="5"/>
      <c r="G50" s="5"/>
      <c r="L50" s="5"/>
      <c r="Q50" s="5"/>
      <c r="V50" s="5"/>
      <c r="AA50" s="5"/>
      <c r="AF50" s="5"/>
    </row>
    <row r="51" spans="2:32" customFormat="1" x14ac:dyDescent="0.45">
      <c r="B51" s="5"/>
      <c r="G51" s="5"/>
      <c r="L51" s="5"/>
      <c r="Q51" s="5"/>
      <c r="V51" s="5"/>
      <c r="AA51" s="5"/>
      <c r="AF51" s="5"/>
    </row>
    <row r="54" spans="2:32" x14ac:dyDescent="0.45">
      <c r="E54" s="3" t="s">
        <v>0</v>
      </c>
      <c r="F54" s="3" t="s">
        <v>2</v>
      </c>
      <c r="G54" s="3" t="s">
        <v>3</v>
      </c>
      <c r="H54" s="3" t="s">
        <v>4</v>
      </c>
      <c r="I54" s="3" t="s">
        <v>5</v>
      </c>
    </row>
    <row r="55" spans="2:32" x14ac:dyDescent="0.45">
      <c r="C55" s="8" t="s">
        <v>9</v>
      </c>
      <c r="D55" s="3">
        <v>0</v>
      </c>
      <c r="E55" s="3">
        <f>B45</f>
        <v>1.2070000000000001</v>
      </c>
      <c r="F55" s="3">
        <f t="shared" ref="F55:I55" si="5">C45</f>
        <v>2.0815384615384613</v>
      </c>
      <c r="G55" s="3">
        <f t="shared" si="5"/>
        <v>1.0740000000000001</v>
      </c>
      <c r="H55" s="3">
        <f t="shared" si="5"/>
        <v>0.91866666666666674</v>
      </c>
      <c r="I55" s="3">
        <f t="shared" si="5"/>
        <v>1.3730526315789473</v>
      </c>
    </row>
    <row r="56" spans="2:32" x14ac:dyDescent="0.45">
      <c r="C56" s="8"/>
      <c r="D56" s="3">
        <v>12</v>
      </c>
      <c r="E56" s="3">
        <f>G45</f>
        <v>2.1294516129032255</v>
      </c>
      <c r="F56" s="3">
        <f t="shared" ref="F56:I56" si="6">H45</f>
        <v>4.6127333333333329</v>
      </c>
      <c r="G56" s="3">
        <f t="shared" si="6"/>
        <v>2.0519333333333334</v>
      </c>
      <c r="H56" s="3">
        <f t="shared" si="6"/>
        <v>2.5227500000000003</v>
      </c>
      <c r="I56" s="3">
        <f t="shared" si="6"/>
        <v>4.2712903225806462</v>
      </c>
    </row>
    <row r="57" spans="2:32" x14ac:dyDescent="0.45">
      <c r="C57" s="8"/>
      <c r="D57" s="3">
        <v>24</v>
      </c>
      <c r="E57" s="3">
        <f>L45</f>
        <v>3.4205000000000001</v>
      </c>
      <c r="F57" s="3">
        <f t="shared" ref="F57:I57" si="7">M45</f>
        <v>6.7185937500000001</v>
      </c>
      <c r="G57" s="3">
        <f t="shared" si="7"/>
        <v>3.7800263157894727</v>
      </c>
      <c r="H57" s="3">
        <f t="shared" si="7"/>
        <v>5.5025555555555563</v>
      </c>
      <c r="I57" s="3">
        <f t="shared" si="7"/>
        <v>7.9547812500000017</v>
      </c>
    </row>
    <row r="58" spans="2:32" x14ac:dyDescent="0.45">
      <c r="C58" s="8"/>
      <c r="D58" s="4">
        <v>36</v>
      </c>
      <c r="E58" s="3">
        <f>Q45</f>
        <v>4.8723928571428576</v>
      </c>
      <c r="F58" s="3">
        <f t="shared" ref="F58:I58" si="8">R45</f>
        <v>8.233629629629629</v>
      </c>
      <c r="G58" s="3">
        <f t="shared" si="8"/>
        <v>5.1452142857142862</v>
      </c>
      <c r="H58" s="3">
        <f t="shared" si="8"/>
        <v>7.7306153846153851</v>
      </c>
      <c r="I58" s="3">
        <f t="shared" si="8"/>
        <v>10.580269230769229</v>
      </c>
    </row>
    <row r="59" spans="2:32" x14ac:dyDescent="0.45">
      <c r="C59" s="8"/>
      <c r="D59" s="4">
        <v>48</v>
      </c>
      <c r="E59" s="3">
        <f>V45</f>
        <v>5.5598461538461557</v>
      </c>
      <c r="F59" s="3">
        <f t="shared" ref="F59:I59" si="9">W45</f>
        <v>10.057461538461537</v>
      </c>
      <c r="G59" s="3">
        <f t="shared" si="9"/>
        <v>5.6819032258064528</v>
      </c>
      <c r="H59" s="3">
        <f t="shared" si="9"/>
        <v>9.295461538461538</v>
      </c>
      <c r="I59" s="3">
        <f t="shared" si="9"/>
        <v>11.939125000000001</v>
      </c>
    </row>
    <row r="60" spans="2:32" x14ac:dyDescent="0.45">
      <c r="C60" s="8"/>
      <c r="D60" s="4">
        <v>60</v>
      </c>
      <c r="E60" s="3">
        <f>AA45</f>
        <v>6.639156250000001</v>
      </c>
      <c r="F60" s="3">
        <f t="shared" ref="F60:I60" si="10">AB45</f>
        <v>11.515000000000001</v>
      </c>
      <c r="G60" s="3">
        <f t="shared" si="10"/>
        <v>6.3329677419354828</v>
      </c>
      <c r="H60" s="3">
        <f t="shared" si="10"/>
        <v>10.275642857142858</v>
      </c>
      <c r="I60" s="3">
        <f t="shared" si="10"/>
        <v>13.402040000000001</v>
      </c>
    </row>
    <row r="61" spans="2:32" x14ac:dyDescent="0.45">
      <c r="C61" s="8"/>
      <c r="D61" s="4">
        <v>72</v>
      </c>
      <c r="E61" s="3">
        <f>AF45</f>
        <v>7.0302187500000022</v>
      </c>
      <c r="F61" s="3">
        <f t="shared" ref="F61:I61" si="11">AG45</f>
        <v>12.294826086956522</v>
      </c>
      <c r="G61" s="3">
        <f t="shared" si="11"/>
        <v>6.738696969696969</v>
      </c>
      <c r="H61" s="3">
        <f t="shared" si="11"/>
        <v>11.21423076923077</v>
      </c>
      <c r="I61" s="3">
        <f t="shared" si="11"/>
        <v>14.935696969696973</v>
      </c>
    </row>
    <row r="62" spans="2:32" x14ac:dyDescent="0.45">
      <c r="C62" s="8" t="s">
        <v>10</v>
      </c>
      <c r="D62" s="3">
        <v>0</v>
      </c>
      <c r="E62" s="3">
        <f>B46</f>
        <v>0.23451818219016074</v>
      </c>
      <c r="F62" s="3">
        <f t="shared" ref="F62:I62" si="12">C46</f>
        <v>0.33613250134662587</v>
      </c>
      <c r="G62" s="3">
        <f t="shared" si="12"/>
        <v>0.12009003032981348</v>
      </c>
      <c r="H62" s="3">
        <f t="shared" si="12"/>
        <v>7.7674534651540356E-3</v>
      </c>
      <c r="I62" s="3">
        <f t="shared" si="12"/>
        <v>0.26161198445284728</v>
      </c>
    </row>
    <row r="63" spans="2:32" x14ac:dyDescent="0.45">
      <c r="C63" s="8"/>
      <c r="D63" s="3">
        <v>12</v>
      </c>
      <c r="E63" s="3">
        <f>G46</f>
        <v>0.40834200034690799</v>
      </c>
      <c r="F63" s="3">
        <f t="shared" ref="F63:I63" si="13">H46</f>
        <v>0.66705812874624615</v>
      </c>
      <c r="G63" s="3">
        <f t="shared" si="13"/>
        <v>0.33623605555839647</v>
      </c>
      <c r="H63" s="3">
        <f t="shared" si="13"/>
        <v>0.45840990702333467</v>
      </c>
      <c r="I63" s="3">
        <f t="shared" si="13"/>
        <v>0.76718803403721347</v>
      </c>
    </row>
    <row r="64" spans="2:32" x14ac:dyDescent="0.45">
      <c r="C64" s="8"/>
      <c r="D64" s="3">
        <v>24</v>
      </c>
      <c r="E64" s="3">
        <f>L46</f>
        <v>0.49678405424462069</v>
      </c>
      <c r="F64" s="3">
        <f t="shared" ref="F64:I64" si="14">M46</f>
        <v>0.66666255232265359</v>
      </c>
      <c r="G64" s="3">
        <f t="shared" si="14"/>
        <v>0.46995948570881074</v>
      </c>
      <c r="H64" s="3">
        <f t="shared" si="14"/>
        <v>0.55337670512750881</v>
      </c>
      <c r="I64" s="3">
        <f t="shared" si="14"/>
        <v>0.7951760500699443</v>
      </c>
    </row>
    <row r="65" spans="3:33" x14ac:dyDescent="0.45">
      <c r="C65" s="8"/>
      <c r="D65" s="4">
        <v>36</v>
      </c>
      <c r="E65" s="3">
        <f>Q46</f>
        <v>0.8043024278855806</v>
      </c>
      <c r="F65" s="3">
        <f t="shared" ref="F65:I65" si="15">R46</f>
        <v>1.0395891994935744</v>
      </c>
      <c r="G65" s="3">
        <f t="shared" si="15"/>
        <v>0.60237261491187655</v>
      </c>
      <c r="H65" s="3">
        <f t="shared" si="15"/>
        <v>0.88771744176300282</v>
      </c>
      <c r="I65" s="3">
        <f t="shared" si="15"/>
        <v>0.77270613082554496</v>
      </c>
    </row>
    <row r="66" spans="3:33" x14ac:dyDescent="0.45">
      <c r="C66" s="8"/>
      <c r="D66" s="4">
        <v>48</v>
      </c>
      <c r="E66" s="3">
        <f>V46</f>
        <v>0.4683652158141286</v>
      </c>
      <c r="F66" s="3">
        <f t="shared" ref="F66:I66" si="16">W46</f>
        <v>1.046376881654759</v>
      </c>
      <c r="G66" s="3">
        <f t="shared" si="16"/>
        <v>0.78545449071809947</v>
      </c>
      <c r="H66" s="3">
        <f t="shared" si="16"/>
        <v>0.76703537677917399</v>
      </c>
      <c r="I66" s="3">
        <f t="shared" si="16"/>
        <v>1.1212758502072824</v>
      </c>
    </row>
    <row r="67" spans="3:33" x14ac:dyDescent="0.45">
      <c r="C67" s="8"/>
      <c r="D67" s="4">
        <v>60</v>
      </c>
      <c r="E67" s="3">
        <f>AA46</f>
        <v>0.94192000582800373</v>
      </c>
      <c r="F67" s="3">
        <f t="shared" ref="F67:I67" si="17">AB46</f>
        <v>1.26604419869272</v>
      </c>
      <c r="G67" s="3">
        <f t="shared" si="17"/>
        <v>0.80249658291571635</v>
      </c>
      <c r="H67" s="3">
        <f t="shared" si="17"/>
        <v>0.6966903745725056</v>
      </c>
      <c r="I67" s="3">
        <f t="shared" si="17"/>
        <v>1.0220927257348034</v>
      </c>
    </row>
    <row r="68" spans="3:33" x14ac:dyDescent="0.45">
      <c r="C68" s="8"/>
      <c r="D68" s="4">
        <v>72</v>
      </c>
      <c r="E68" s="3">
        <f>AF46</f>
        <v>0.8928865381220964</v>
      </c>
      <c r="F68" s="3">
        <f t="shared" ref="F68:I68" si="18">AG46</f>
        <v>0.86053279754590062</v>
      </c>
      <c r="G68" s="3">
        <f t="shared" si="18"/>
        <v>1.0196218810436777</v>
      </c>
      <c r="H68" s="3">
        <f t="shared" si="18"/>
        <v>1.3483092593964818</v>
      </c>
      <c r="I68" s="3">
        <f t="shared" si="18"/>
        <v>0.85872509006260578</v>
      </c>
    </row>
    <row r="69" spans="3:33" x14ac:dyDescent="0.45">
      <c r="AG69" s="3" t="s">
        <v>14</v>
      </c>
    </row>
    <row r="72" spans="3:33" x14ac:dyDescent="0.45">
      <c r="E72" s="3">
        <v>0.05</v>
      </c>
    </row>
    <row r="73" spans="3:33" x14ac:dyDescent="0.45">
      <c r="E73" s="3">
        <v>1E-3</v>
      </c>
    </row>
    <row r="74" spans="3:33" x14ac:dyDescent="0.45">
      <c r="E74" s="3">
        <v>1E-4</v>
      </c>
    </row>
  </sheetData>
  <mergeCells count="9">
    <mergeCell ref="AF1:AJ1"/>
    <mergeCell ref="C55:C61"/>
    <mergeCell ref="C62:C68"/>
    <mergeCell ref="B1:F1"/>
    <mergeCell ref="G1:K1"/>
    <mergeCell ref="L1:P1"/>
    <mergeCell ref="Q1:U1"/>
    <mergeCell ref="V1:Z1"/>
    <mergeCell ref="AA1:AE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12L12D</vt:lpstr>
      <vt:lpstr>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hanim</dc:creator>
  <cp:lastModifiedBy>hanim</cp:lastModifiedBy>
  <dcterms:created xsi:type="dcterms:W3CDTF">2023-04-03T03:17:25Z</dcterms:created>
  <dcterms:modified xsi:type="dcterms:W3CDTF">2023-05-08T04:57:27Z</dcterms:modified>
</cp:coreProperties>
</file>